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lish\Desktop\MES APPLIS EXCEL\version 1.0.1\"/>
    </mc:Choice>
  </mc:AlternateContent>
  <xr:revisionPtr revIDLastSave="0" documentId="8_{CE48860F-2FD8-4599-B442-2C6E54269956}" xr6:coauthVersionLast="47" xr6:coauthVersionMax="47" xr10:uidLastSave="{00000000-0000-0000-0000-000000000000}"/>
  <workbookProtection workbookAlgorithmName="SHA-512" workbookHashValue="N04fyDPQnOU491NbMrQecHJdGf12fkz2UmxiH0wjTkT1Pc8PUtf2lclWf7UpueejZiWxWH5aGDnrCY20d9pNPg==" workbookSaltValue="IiMEUi2Ife31GsEL+B4oiw==" workbookSpinCount="100000" lockStructure="1"/>
  <bookViews>
    <workbookView xWindow="-120" yWindow="-120" windowWidth="20730" windowHeight="11310" xr2:uid="{40E71435-0AAB-4081-BD6A-8EC2BF7D7DE7}"/>
  </bookViews>
  <sheets>
    <sheet name="FACTURE" sheetId="3" r:id="rId1"/>
    <sheet name="ARTICLES" sheetId="1" r:id="rId2"/>
    <sheet name="CLIENTS" sheetId="2" r:id="rId3"/>
  </sheets>
  <definedNames>
    <definedName name="_xlnm._FilterDatabase" localSheetId="1" hidden="1">ARTICLES!$A$2:$D$2</definedName>
    <definedName name="_xlnm.Print_Area" localSheetId="2">CLIENTS!$A$1:$H$309</definedName>
    <definedName name="_xlnm.Print_Area" localSheetId="0">FACTURE!$A$1:$E$46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3" i="3" l="1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4" i="3"/>
  <c r="E33" i="3" l="1"/>
  <c r="F3" i="2" l="1"/>
</calcChain>
</file>

<file path=xl/sharedStrings.xml><?xml version="1.0" encoding="utf-8"?>
<sst xmlns="http://schemas.openxmlformats.org/spreadsheetml/2006/main" count="90" uniqueCount="75">
  <si>
    <t>PRIX</t>
  </si>
  <si>
    <t>FOURNISSEUR</t>
  </si>
  <si>
    <t>QTE</t>
  </si>
  <si>
    <t>CLIENT</t>
  </si>
  <si>
    <t>BASE DE DONNEES CLIENTS</t>
  </si>
  <si>
    <t>P.U</t>
  </si>
  <si>
    <t>TOTAL</t>
  </si>
  <si>
    <t>Maroua, le</t>
  </si>
  <si>
    <t>DESIGNATION</t>
  </si>
  <si>
    <t>STOCK</t>
  </si>
  <si>
    <t>Facture N°:</t>
  </si>
  <si>
    <t>FACTURE</t>
  </si>
  <si>
    <t>Arrête la présente facture à la somme de ___________________________________________</t>
  </si>
  <si>
    <t>LA DIRECTION</t>
  </si>
  <si>
    <t>BUY WITH</t>
  </si>
  <si>
    <r>
      <t xml:space="preserve">NB: Les marchandises vendues ne sont ni </t>
    </r>
    <r>
      <rPr>
        <b/>
        <sz val="11"/>
        <color rgb="FF000000"/>
        <rFont val="Tahoma-Identity-H"/>
      </rPr>
      <t>é</t>
    </r>
    <r>
      <rPr>
        <b/>
        <i/>
        <sz val="11"/>
        <color rgb="FF000000"/>
        <rFont val="UniNeue-Trial-RegularItalic-Ide"/>
      </rPr>
      <t>chang</t>
    </r>
    <r>
      <rPr>
        <b/>
        <sz val="11"/>
        <color rgb="FF000000"/>
        <rFont val="Tahoma-Identity-H"/>
      </rPr>
      <t>é</t>
    </r>
    <r>
      <rPr>
        <b/>
        <i/>
        <sz val="11"/>
        <color rgb="FF000000"/>
        <rFont val="UniNeue-Trial-RegularItalic-Ide"/>
      </rPr>
      <t>s, ni reprises</t>
    </r>
  </si>
  <si>
    <t xml:space="preserve"> article(s) payé(s)</t>
  </si>
  <si>
    <t>DOIT:</t>
  </si>
  <si>
    <t>____________________________________________________________________________</t>
  </si>
  <si>
    <t>BASE DE DONNEES ARTICLES/SERVICES</t>
  </si>
  <si>
    <t>NUMERO FACTURE</t>
  </si>
  <si>
    <t>DATE</t>
  </si>
  <si>
    <t xml:space="preserve"> </t>
  </si>
  <si>
    <t>MONTANT</t>
  </si>
  <si>
    <t>TOTAL VENDU</t>
  </si>
  <si>
    <t>Noms</t>
  </si>
  <si>
    <t>Prenoms</t>
  </si>
  <si>
    <t>Telephone</t>
  </si>
  <si>
    <t>Ville</t>
  </si>
  <si>
    <t>Maroua</t>
  </si>
  <si>
    <t>BEIDI</t>
  </si>
  <si>
    <t>DINA</t>
  </si>
  <si>
    <t>Beurre Jadida 450g</t>
  </si>
  <si>
    <t>Beurre Jadida 900g</t>
  </si>
  <si>
    <t>Farine amigo</t>
  </si>
  <si>
    <t>Haricots verts</t>
  </si>
  <si>
    <t>Huile d'olive 250ml</t>
  </si>
  <si>
    <t>Lait broli 1kg</t>
  </si>
  <si>
    <t>Lait broli 390g</t>
  </si>
  <si>
    <t>Lait cowbell en boîte</t>
  </si>
  <si>
    <t>Macaroni 20 ans</t>
  </si>
  <si>
    <t>Macaroni cheveux d'ange</t>
  </si>
  <si>
    <t>Macaroni panzani</t>
  </si>
  <si>
    <t>Macaroni pasta  Golden</t>
  </si>
  <si>
    <t>Macaroni penne</t>
  </si>
  <si>
    <t>Macaroni vert</t>
  </si>
  <si>
    <t>Macédoine 400g</t>
  </si>
  <si>
    <t>Macédoine 800g</t>
  </si>
  <si>
    <t>Maïs doux</t>
  </si>
  <si>
    <t>Matinal en boîte 200g</t>
  </si>
  <si>
    <t>Matinal en boîte 400g</t>
  </si>
  <si>
    <t>Matinal en boîte 800g</t>
  </si>
  <si>
    <t xml:space="preserve">Moutarde </t>
  </si>
  <si>
    <t>Olive</t>
  </si>
  <si>
    <t>Petits pois</t>
  </si>
  <si>
    <t>Piment liquide</t>
  </si>
  <si>
    <t>Riz broli 5kg</t>
  </si>
  <si>
    <t>Sardine 450</t>
  </si>
  <si>
    <t>Sardine broli</t>
  </si>
  <si>
    <t>Sardine mackerel</t>
  </si>
  <si>
    <t>Spaghetti 20 ans</t>
  </si>
  <si>
    <t>Spaghetti barka 250g</t>
  </si>
  <si>
    <t>Spaghetti barka 500g</t>
  </si>
  <si>
    <t>Spaghetti El maleka</t>
  </si>
  <si>
    <t>Spaghetti pasta Golden</t>
  </si>
  <si>
    <t>Spaghetti pasta lucia</t>
  </si>
  <si>
    <t>Spaghetti selva</t>
  </si>
  <si>
    <t>Spaghetti vert slim</t>
  </si>
  <si>
    <r>
      <t xml:space="preserve">                </t>
    </r>
    <r>
      <rPr>
        <b/>
        <sz val="14"/>
        <color rgb="FF000000"/>
        <rFont val="Calibri"/>
        <family val="2"/>
        <scheme val="minor"/>
      </rPr>
      <t xml:space="preserve">   COMMERCE GÉNÉRAL</t>
    </r>
  </si>
  <si>
    <t>N°Contribuable : P078516162158Q</t>
  </si>
  <si>
    <t>RCCM: RC/MVR/21/A/348</t>
  </si>
  <si>
    <t>TEL: 698 42 96 35/675 19 27 28</t>
  </si>
  <si>
    <t>Email: nghuievofouomber@gmail.com  Maroua-Pitoaré, petit marché</t>
  </si>
  <si>
    <t/>
  </si>
  <si>
    <t>698 42 96 35       675 19 27 28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</si>
</sst>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[$FCFA-2C0C]"/>
    <numFmt numFmtId="165" formatCode="000"/>
    <numFmt numFmtId="166" formatCode="0000"/>
    <numFmt numFmtId="167" formatCode="0000000"/>
  </numFmts>
  <fonts count="25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UniNeue-Trial-Bold-Identity-H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i/>
      <sz val="12"/>
      <color rgb="FF151616"/>
      <name val="LucidaCalligraphy-Italic-Identi"/>
    </font>
    <font>
      <b/>
      <sz val="14"/>
      <color rgb="FF000000"/>
      <name val="UniNeue-Trial-Bold-Identity-H"/>
    </font>
    <font>
      <b/>
      <sz val="10"/>
      <color rgb="FF000000"/>
      <name val="UniNeue-Trial-Bold-Identity-H"/>
    </font>
    <font>
      <sz val="11"/>
      <name val="Calibri"/>
      <family val="2"/>
      <scheme val="minor"/>
    </font>
    <font>
      <b/>
      <i/>
      <sz val="11"/>
      <color rgb="FF000000"/>
      <name val="UniNeue-Trial-RegularItalic-Ide"/>
    </font>
    <font>
      <b/>
      <sz val="11"/>
      <color rgb="FF000000"/>
      <name val="Tahoma-Identity-H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99CC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 style="thick">
        <color rgb="FF0099CC"/>
      </top>
      <bottom/>
      <diagonal/>
    </border>
  </borders>
  <cellStyleXfs count="2">
    <xf numFmtId="0" fontId="0" fillId="0" borderId="0"/>
    <xf numFmtId="164" fontId="4" fillId="0" borderId="1"/>
  </cellStyleXfs>
  <cellXfs count="85">
    <xf numFmtId="0" fontId="0" fillId="0" borderId="0" xfId="0"/>
    <xf numFmtId="0" fontId="2" fillId="0" borderId="0" xfId="0" applyFont="1"/>
    <xf numFmtId="0" fontId="0" fillId="0" borderId="1" xfId="0" applyBorder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8" fillId="0" borderId="0" xfId="0" applyFont="1"/>
    <xf numFmtId="0" fontId="9" fillId="0" borderId="0" xfId="0" applyFont="1" applyAlignment="1">
      <alignment horizontal="right"/>
    </xf>
    <xf numFmtId="166" fontId="9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0" fontId="0" fillId="5" borderId="0" xfId="0" applyFill="1" applyAlignment="1">
      <alignment horizontal="center"/>
    </xf>
    <xf numFmtId="0" fontId="0" fillId="5" borderId="0" xfId="0" applyFill="1"/>
    <xf numFmtId="0" fontId="2" fillId="5" borderId="0" xfId="0" applyFont="1" applyFill="1"/>
    <xf numFmtId="0" fontId="11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14" fontId="11" fillId="0" borderId="0" xfId="0" applyNumberFormat="1" applyFont="1"/>
    <xf numFmtId="22" fontId="0" fillId="0" borderId="0" xfId="0" applyNumberFormat="1" applyAlignment="1">
      <alignment horizontal="left"/>
    </xf>
    <xf numFmtId="0" fontId="11" fillId="0" borderId="0" xfId="0" applyFont="1" applyAlignment="1">
      <alignment horizontal="right"/>
    </xf>
    <xf numFmtId="0" fontId="9" fillId="0" borderId="0" xfId="0" applyFont="1"/>
    <xf numFmtId="0" fontId="16" fillId="0" borderId="0" xfId="0" applyFont="1"/>
    <xf numFmtId="167" fontId="9" fillId="0" borderId="0" xfId="0" applyNumberFormat="1" applyFont="1" applyAlignment="1">
      <alignment horizontal="left"/>
    </xf>
    <xf numFmtId="0" fontId="13" fillId="0" borderId="0" xfId="0" applyFont="1" applyAlignment="1">
      <alignment horizontal="left" vertical="top"/>
    </xf>
    <xf numFmtId="0" fontId="14" fillId="0" borderId="0" xfId="0" applyFont="1" applyAlignment="1">
      <alignment horizontal="center"/>
    </xf>
    <xf numFmtId="0" fontId="13" fillId="0" borderId="0" xfId="0" applyFont="1" applyAlignment="1">
      <alignment vertical="top"/>
    </xf>
    <xf numFmtId="165" fontId="0" fillId="0" borderId="1" xfId="0" applyNumberFormat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10" xfId="0" applyBorder="1"/>
    <xf numFmtId="165" fontId="0" fillId="0" borderId="10" xfId="0" applyNumberFormat="1" applyBorder="1" applyAlignment="1">
      <alignment horizontal="left"/>
    </xf>
    <xf numFmtId="0" fontId="0" fillId="0" borderId="10" xfId="0" applyBorder="1" applyAlignment="1">
      <alignment horizontal="left"/>
    </xf>
    <xf numFmtId="0" fontId="1" fillId="4" borderId="1" xfId="0" applyFont="1" applyFill="1" applyBorder="1"/>
    <xf numFmtId="164" fontId="2" fillId="0" borderId="1" xfId="1" applyFont="1"/>
    <xf numFmtId="164" fontId="4" fillId="0" borderId="1" xfId="1" applyAlignment="1">
      <alignment horizontal="left"/>
    </xf>
    <xf numFmtId="0" fontId="1" fillId="4" borderId="9" xfId="0" applyFont="1" applyFill="1" applyBorder="1" applyAlignment="1">
      <alignment horizontal="left"/>
    </xf>
    <xf numFmtId="0" fontId="20" fillId="7" borderId="19" xfId="0" applyFont="1" applyFill="1" applyBorder="1" applyAlignment="1">
      <alignment horizontal="left"/>
    </xf>
    <xf numFmtId="0" fontId="0" fillId="0" borderId="19" xfId="0" applyBorder="1" applyAlignment="1">
      <alignment horizontal="left"/>
    </xf>
    <xf numFmtId="0" fontId="19" fillId="8" borderId="4" xfId="0" applyFont="1" applyFill="1" applyBorder="1" applyAlignment="1">
      <alignment horizontal="center"/>
    </xf>
    <xf numFmtId="0" fontId="19" fillId="8" borderId="8" xfId="0" applyFont="1" applyFill="1" applyBorder="1" applyAlignment="1">
      <alignment horizontal="center"/>
    </xf>
    <xf numFmtId="0" fontId="20" fillId="8" borderId="5" xfId="0" applyFont="1" applyFill="1" applyBorder="1"/>
    <xf numFmtId="0" fontId="20" fillId="8" borderId="1" xfId="0" applyFont="1" applyFill="1" applyBorder="1" applyAlignment="1">
      <alignment horizontal="right"/>
    </xf>
    <xf numFmtId="164" fontId="20" fillId="8" borderId="1" xfId="1" applyFont="1" applyFill="1" applyAlignment="1">
      <alignment horizontal="left"/>
    </xf>
    <xf numFmtId="0" fontId="0" fillId="0" borderId="1" xfId="0" applyBorder="1" applyAlignment="1">
      <alignment horizontal="center"/>
    </xf>
    <xf numFmtId="164" fontId="2" fillId="0" borderId="1" xfId="1" applyFont="1" applyAlignment="1">
      <alignment horizontal="left"/>
    </xf>
    <xf numFmtId="22" fontId="0" fillId="0" borderId="1" xfId="0" applyNumberFormat="1" applyBorder="1" applyAlignment="1">
      <alignment horizontal="center"/>
    </xf>
    <xf numFmtId="0" fontId="1" fillId="4" borderId="9" xfId="0" applyFont="1" applyFill="1" applyBorder="1" applyAlignment="1">
      <alignment horizontal="right"/>
    </xf>
    <xf numFmtId="164" fontId="4" fillId="0" borderId="1" xfId="1" applyAlignment="1">
      <alignment horizontal="right"/>
    </xf>
    <xf numFmtId="0" fontId="0" fillId="0" borderId="0" xfId="0" applyAlignment="1">
      <alignment horizontal="right" vertical="top" wrapText="1"/>
    </xf>
    <xf numFmtId="0" fontId="1" fillId="4" borderId="2" xfId="0" applyFont="1" applyFill="1" applyBorder="1"/>
    <xf numFmtId="0" fontId="2" fillId="0" borderId="1" xfId="0" applyFont="1" applyBorder="1"/>
    <xf numFmtId="0" fontId="1" fillId="4" borderId="9" xfId="0" applyFont="1" applyFill="1" applyBorder="1" applyAlignment="1">
      <alignment wrapText="1"/>
    </xf>
    <xf numFmtId="49" fontId="0" fillId="0" borderId="1" xfId="0" applyNumberFormat="1" applyBorder="1" applyAlignment="1">
      <alignment vertical="top"/>
    </xf>
    <xf numFmtId="49" fontId="0" fillId="0" borderId="0" xfId="0" applyNumberFormat="1" applyAlignment="1">
      <alignment vertical="top"/>
    </xf>
    <xf numFmtId="0" fontId="0" fillId="0" borderId="0" xfId="0" applyAlignment="1">
      <alignment vertical="top"/>
    </xf>
    <xf numFmtId="49" fontId="0" fillId="0" borderId="1" xfId="0" applyNumberFormat="1" applyBorder="1" applyAlignment="1">
      <alignment horizontal="left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3" fontId="15" fillId="0" borderId="0" xfId="0" applyNumberFormat="1" applyFont="1" applyAlignment="1">
      <alignment horizontal="center" vertical="center"/>
    </xf>
    <xf numFmtId="0" fontId="17" fillId="0" borderId="20" xfId="0" applyFont="1" applyBorder="1" applyAlignment="1">
      <alignment horizontal="center"/>
    </xf>
    <xf numFmtId="0" fontId="21" fillId="8" borderId="4" xfId="0" applyFont="1" applyFill="1" applyBorder="1" applyAlignment="1">
      <alignment horizontal="left"/>
    </xf>
    <xf numFmtId="0" fontId="23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12" fillId="8" borderId="6" xfId="0" applyFont="1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14" fillId="0" borderId="0" xfId="0" applyFont="1" applyAlignment="1">
      <alignment horizontal="center"/>
    </xf>
    <xf numFmtId="0" fontId="19" fillId="8" borderId="5" xfId="0" applyFont="1" applyFill="1" applyBorder="1" applyAlignment="1">
      <alignment horizontal="center"/>
    </xf>
    <xf numFmtId="0" fontId="19" fillId="8" borderId="4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 vertical="center"/>
    </xf>
    <xf numFmtId="0" fontId="22" fillId="6" borderId="12" xfId="0" applyFont="1" applyFill="1" applyBorder="1" applyAlignment="1">
      <alignment horizontal="center" vertical="center"/>
    </xf>
    <xf numFmtId="0" fontId="22" fillId="6" borderId="13" xfId="0" applyFont="1" applyFill="1" applyBorder="1" applyAlignment="1">
      <alignment horizontal="center" vertical="center"/>
    </xf>
    <xf numFmtId="0" fontId="22" fillId="6" borderId="14" xfId="0" applyFont="1" applyFill="1" applyBorder="1" applyAlignment="1">
      <alignment horizontal="center" vertical="center"/>
    </xf>
    <xf numFmtId="0" fontId="22" fillId="6" borderId="0" xfId="0" applyFont="1" applyFill="1" applyAlignment="1">
      <alignment horizontal="center" vertical="center"/>
    </xf>
    <xf numFmtId="0" fontId="22" fillId="6" borderId="15" xfId="0" applyFont="1" applyFill="1" applyBorder="1" applyAlignment="1">
      <alignment horizontal="center" vertical="center"/>
    </xf>
    <xf numFmtId="164" fontId="9" fillId="0" borderId="14" xfId="0" applyNumberFormat="1" applyFont="1" applyBorder="1" applyAlignment="1">
      <alignment horizontal="center"/>
    </xf>
    <xf numFmtId="164" fontId="9" fillId="0" borderId="0" xfId="0" applyNumberFormat="1" applyFont="1" applyAlignment="1">
      <alignment horizontal="center"/>
    </xf>
    <xf numFmtId="164" fontId="9" fillId="0" borderId="15" xfId="0" applyNumberFormat="1" applyFont="1" applyBorder="1" applyAlignment="1">
      <alignment horizontal="center"/>
    </xf>
    <xf numFmtId="164" fontId="9" fillId="0" borderId="16" xfId="0" applyNumberFormat="1" applyFont="1" applyBorder="1" applyAlignment="1">
      <alignment horizontal="center"/>
    </xf>
    <xf numFmtId="164" fontId="9" fillId="0" borderId="17" xfId="0" applyNumberFormat="1" applyFont="1" applyBorder="1" applyAlignment="1">
      <alignment horizontal="center"/>
    </xf>
    <xf numFmtId="164" fontId="9" fillId="0" borderId="18" xfId="0" applyNumberFormat="1" applyFont="1" applyBorder="1" applyAlignment="1">
      <alignment horizontal="center"/>
    </xf>
  </cellXfs>
  <cellStyles count="2">
    <cellStyle name="Fcfa" xfId="1" xr:uid="{576A6201-C2A6-4C1C-B89F-2888353C8E87}"/>
    <cellStyle name="Normal" xfId="0" builtinId="0"/>
  </cellStyles>
  <dxfs count="2">
    <dxf>
      <fill>
        <patternFill>
          <bgColor rgb="FFFFC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0099CC"/>
      <color rgb="FFCC3300"/>
      <color rgb="FF0099FF"/>
      <color rgb="FFFFCCFF"/>
      <color rgb="FFFF99FF"/>
      <color rgb="FFFF66FF"/>
      <color rgb="FFB21E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jp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40</xdr:row>
      <xdr:rowOff>180975</xdr:rowOff>
    </xdr:from>
    <xdr:to>
      <xdr:col>1</xdr:col>
      <xdr:colOff>933450</xdr:colOff>
      <xdr:row>43</xdr:row>
      <xdr:rowOff>47625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27" t="12016" r="4963" b="13084"/>
        <a:stretch/>
      </xdr:blipFill>
      <xdr:spPr>
        <a:xfrm>
          <a:off x="723900" y="8286750"/>
          <a:ext cx="933450" cy="447675"/>
        </a:xfrm>
        <a:prstGeom prst="rect">
          <a:avLst/>
        </a:prstGeom>
      </xdr:spPr>
    </xdr:pic>
    <xdr:clientData/>
  </xdr:twoCellAnchor>
  <xdr:twoCellAnchor editAs="oneCell">
    <xdr:from>
      <xdr:col>1</xdr:col>
      <xdr:colOff>1057275</xdr:colOff>
      <xdr:row>40</xdr:row>
      <xdr:rowOff>190501</xdr:rowOff>
    </xdr:from>
    <xdr:to>
      <xdr:col>1</xdr:col>
      <xdr:colOff>1962150</xdr:colOff>
      <xdr:row>43</xdr:row>
      <xdr:rowOff>19432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1175" y="8296276"/>
          <a:ext cx="904875" cy="40995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742950</xdr:colOff>
          <xdr:row>6</xdr:row>
          <xdr:rowOff>9525</xdr:rowOff>
        </xdr:from>
        <xdr:to>
          <xdr:col>7</xdr:col>
          <xdr:colOff>819150</xdr:colOff>
          <xdr:row>9</xdr:row>
          <xdr:rowOff>19050</xdr:rowOff>
        </xdr:to>
        <xdr:sp macro="" textlink="">
          <xdr:nvSpPr>
            <xdr:cNvPr id="1026" name="CreerPDFF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6</xdr:row>
          <xdr:rowOff>19050</xdr:rowOff>
        </xdr:from>
        <xdr:to>
          <xdr:col>9</xdr:col>
          <xdr:colOff>723900</xdr:colOff>
          <xdr:row>9</xdr:row>
          <xdr:rowOff>0</xdr:rowOff>
        </xdr:to>
        <xdr:sp macro="" textlink="">
          <xdr:nvSpPr>
            <xdr:cNvPr id="1027" name="MENU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40</xdr:row>
      <xdr:rowOff>180975</xdr:rowOff>
    </xdr:from>
    <xdr:to>
      <xdr:col>1</xdr:col>
      <xdr:colOff>933450</xdr:colOff>
      <xdr:row>43</xdr:row>
      <xdr:rowOff>47625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27" t="12016" r="4963" b="13084"/>
        <a:stretch/>
      </xdr:blipFill>
      <xdr:spPr>
        <a:xfrm>
          <a:off x="723900" y="8601075"/>
          <a:ext cx="933450" cy="447675"/>
        </a:xfrm>
        <a:prstGeom prst="rect">
          <a:avLst/>
        </a:prstGeom>
      </xdr:spPr>
    </xdr:pic>
    <xdr:clientData/>
  </xdr:twoCellAnchor>
  <xdr:twoCellAnchor editAs="oneCell">
    <xdr:from>
      <xdr:col>1</xdr:col>
      <xdr:colOff>1057275</xdr:colOff>
      <xdr:row>40</xdr:row>
      <xdr:rowOff>190501</xdr:rowOff>
    </xdr:from>
    <xdr:to>
      <xdr:col>1</xdr:col>
      <xdr:colOff>1962150</xdr:colOff>
      <xdr:row>43</xdr:row>
      <xdr:rowOff>19432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1175" y="8610601"/>
          <a:ext cx="904875" cy="40995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40</xdr:row>
      <xdr:rowOff>180975</xdr:rowOff>
    </xdr:from>
    <xdr:to>
      <xdr:col>1</xdr:col>
      <xdr:colOff>933450</xdr:colOff>
      <xdr:row>43</xdr:row>
      <xdr:rowOff>47625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27" t="12016" r="4963" b="13084"/>
        <a:stretch/>
      </xdr:blipFill>
      <xdr:spPr>
        <a:xfrm>
          <a:off x="723900" y="8601075"/>
          <a:ext cx="933450" cy="447675"/>
        </a:xfrm>
        <a:prstGeom prst="rect">
          <a:avLst/>
        </a:prstGeom>
      </xdr:spPr>
    </xdr:pic>
    <xdr:clientData/>
  </xdr:twoCellAnchor>
  <xdr:twoCellAnchor editAs="oneCell">
    <xdr:from>
      <xdr:col>1</xdr:col>
      <xdr:colOff>1057275</xdr:colOff>
      <xdr:row>40</xdr:row>
      <xdr:rowOff>190501</xdr:rowOff>
    </xdr:from>
    <xdr:to>
      <xdr:col>1</xdr:col>
      <xdr:colOff>1962150</xdr:colOff>
      <xdr:row>43</xdr:row>
      <xdr:rowOff>19432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1175" y="8610601"/>
          <a:ext cx="904875" cy="409956"/>
        </a:xfrm>
        <a:prstGeom prst="rect">
          <a:avLst/>
        </a:prstGeom>
      </xdr:spPr>
    </xdr:pic>
    <xdr:clientData/>
  </xdr:twoCellAnchor>
  <xdr:twoCellAnchor editAs="oneCell">
    <xdr:from>
      <xdr:col>0</xdr:col>
      <xdr:colOff>6708</xdr:colOff>
      <xdr:row>0</xdr:row>
      <xdr:rowOff>0</xdr:rowOff>
    </xdr:from>
    <xdr:to>
      <xdr:col>1</xdr:col>
      <xdr:colOff>2009776</xdr:colOff>
      <xdr:row>4</xdr:row>
      <xdr:rowOff>178639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8" y="0"/>
          <a:ext cx="2726968" cy="94063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0</xdr:row>
          <xdr:rowOff>95250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695325</xdr:colOff>
          <xdr:row>0</xdr:row>
          <xdr:rowOff>95250</xdr:rowOff>
        </xdr:from>
        <xdr:to>
          <xdr:col>15</xdr:col>
          <xdr:colOff>647700</xdr:colOff>
          <xdr:row>3</xdr:row>
          <xdr:rowOff>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E8218-487E-4EA2-865A-309DE5BDDDC4}">
  <sheetPr codeName="Feuil3"/>
  <dimension ref="A1:M49"/>
  <sheetViews>
    <sheetView tabSelected="1" zoomScaleNormal="100" workbookViewId="0">
      <selection activeCell="C15" sqref="C15"/>
    </sheetView>
  </sheetViews>
  <sheetFormatPr baseColWidth="10" defaultRowHeight="15"/>
  <cols>
    <col min="1" max="1" width="10.85546875" customWidth="1"/>
    <col min="2" max="2" width="30.28515625" customWidth="1"/>
    <col min="3" max="3" width="16.140625" customWidth="1"/>
    <col min="4" max="4" width="17" customWidth="1"/>
    <col min="5" max="5" width="24.140625" customWidth="1"/>
    <col min="8" max="8" width="17.7109375" customWidth="1"/>
  </cols>
  <sheetData>
    <row r="1" spans="1:13" ht="15" customHeight="1">
      <c r="A1" s="61" t="s">
        <v>68</v>
      </c>
      <c r="B1" s="62"/>
      <c r="C1" s="62"/>
      <c r="D1" s="62"/>
      <c r="E1" s="62"/>
      <c r="F1" s="6"/>
    </row>
    <row r="2" spans="1:13">
      <c r="A2" s="62"/>
      <c r="B2" s="62"/>
      <c r="C2" s="62"/>
      <c r="D2" s="62"/>
      <c r="E2" s="62"/>
      <c r="F2" s="6"/>
    </row>
    <row r="3" spans="1:13">
      <c r="A3" s="62"/>
      <c r="B3" s="62"/>
      <c r="C3" s="62"/>
      <c r="D3" s="62"/>
      <c r="E3" s="62"/>
      <c r="F3" s="6"/>
    </row>
    <row r="4" spans="1:13">
      <c r="A4" s="62"/>
      <c r="B4" s="62"/>
      <c r="C4" s="62"/>
      <c r="D4" s="62"/>
      <c r="E4" s="62"/>
      <c r="F4" s="6"/>
    </row>
    <row r="5" spans="1:13">
      <c r="A5" s="62"/>
      <c r="B5" s="62"/>
      <c r="C5" s="62"/>
      <c r="D5" s="62"/>
      <c r="E5" s="62"/>
      <c r="F5" s="6"/>
    </row>
    <row r="6" spans="1:13" ht="15" customHeight="1">
      <c r="A6" s="63" t="s">
        <v>11</v>
      </c>
      <c r="B6" s="64"/>
      <c r="C6" s="64"/>
      <c r="D6" s="64"/>
      <c r="E6" s="64"/>
      <c r="K6" s="1"/>
      <c r="L6" s="1"/>
      <c r="M6" s="1"/>
    </row>
    <row r="7" spans="1:13">
      <c r="A7" s="65"/>
      <c r="B7" s="65"/>
      <c r="C7" s="65"/>
      <c r="D7" s="65"/>
      <c r="E7" s="65"/>
      <c r="K7" s="1"/>
      <c r="L7" s="1"/>
      <c r="M7" s="1"/>
    </row>
    <row r="8" spans="1:13" s="13" customFormat="1">
      <c r="A8" s="12"/>
      <c r="B8" s="12"/>
      <c r="C8" s="12"/>
      <c r="D8" s="12"/>
      <c r="E8" s="12"/>
      <c r="K8" s="14"/>
      <c r="L8" s="14"/>
      <c r="M8" s="14"/>
    </row>
    <row r="9" spans="1:13">
      <c r="A9" s="8" t="s">
        <v>69</v>
      </c>
      <c r="K9" s="1"/>
      <c r="L9" s="1"/>
      <c r="M9" s="1"/>
    </row>
    <row r="10" spans="1:13">
      <c r="A10" s="8" t="s">
        <v>70</v>
      </c>
      <c r="K10" s="1"/>
      <c r="L10" s="1"/>
      <c r="M10" s="1"/>
    </row>
    <row r="11" spans="1:13">
      <c r="A11" s="8" t="s">
        <v>71</v>
      </c>
      <c r="K11" s="1"/>
      <c r="L11" s="1"/>
      <c r="M11" s="1"/>
    </row>
    <row r="12" spans="1:13">
      <c r="A12" s="7" t="s">
        <v>72</v>
      </c>
      <c r="J12" s="8"/>
      <c r="K12" s="1"/>
      <c r="L12" s="1"/>
      <c r="M12" s="1"/>
    </row>
    <row r="14" spans="1:13" ht="18.75">
      <c r="B14" s="9" t="s">
        <v>10</v>
      </c>
      <c r="C14" s="22">
        <v>0</v>
      </c>
      <c r="D14" s="19" t="s">
        <v>7</v>
      </c>
      <c r="E14" s="18">
        <f ca="1">NOW()</f>
        <v>45550.627368055553</v>
      </c>
    </row>
    <row r="15" spans="1:13" ht="15" customHeight="1">
      <c r="B15" s="9"/>
      <c r="C15" s="10"/>
      <c r="D15" s="15"/>
      <c r="E15" s="17"/>
      <c r="H15" s="56"/>
      <c r="I15" s="57"/>
      <c r="J15" s="57"/>
      <c r="K15" s="57"/>
      <c r="L15" s="57"/>
    </row>
    <row r="16" spans="1:13" ht="15" customHeight="1">
      <c r="A16" s="9" t="s">
        <v>17</v>
      </c>
      <c r="B16" s="20"/>
      <c r="C16" s="10"/>
      <c r="D16" s="15"/>
      <c r="E16" s="11"/>
    </row>
    <row r="17" spans="1:11">
      <c r="J17" s="3"/>
      <c r="K17" s="4"/>
    </row>
    <row r="18" spans="1:11" ht="15.75">
      <c r="A18" s="67" t="s">
        <v>8</v>
      </c>
      <c r="B18" s="68"/>
      <c r="C18" s="38" t="s">
        <v>2</v>
      </c>
      <c r="D18" s="38" t="s">
        <v>5</v>
      </c>
      <c r="E18" s="39" t="s">
        <v>6</v>
      </c>
      <c r="H18" s="5"/>
      <c r="J18" s="3"/>
      <c r="K18" s="4"/>
    </row>
    <row r="19" spans="1:11" ht="21" customHeight="1">
      <c r="A19" s="55" t="s">
        <v>73</v>
      </c>
      <c r="B19" s="55"/>
      <c r="C19" s="43"/>
      <c r="D19" s="34"/>
      <c r="E19" s="44" t="str">
        <f t="shared" ref="E19:E32" si="0">IF(D19="","",C19*D19)</f>
        <v/>
      </c>
      <c r="J19" s="3"/>
      <c r="K19" s="4"/>
    </row>
    <row r="20" spans="1:11" ht="20.25" customHeight="1">
      <c r="A20" s="55" t="s">
        <v>73</v>
      </c>
      <c r="B20" s="55"/>
      <c r="C20" s="43"/>
      <c r="D20" s="34"/>
      <c r="E20" s="44" t="str">
        <f t="shared" si="0"/>
        <v/>
      </c>
      <c r="J20" s="3"/>
      <c r="K20" s="4"/>
    </row>
    <row r="21" spans="1:11" ht="18" customHeight="1">
      <c r="A21" s="55" t="s">
        <v>73</v>
      </c>
      <c r="B21" s="55"/>
      <c r="C21" s="43"/>
      <c r="D21" s="34"/>
      <c r="E21" s="44" t="str">
        <f t="shared" si="0"/>
        <v/>
      </c>
      <c r="J21" s="3"/>
      <c r="K21" s="4"/>
    </row>
    <row r="22" spans="1:11">
      <c r="A22" s="55" t="s">
        <v>73</v>
      </c>
      <c r="B22" s="55"/>
      <c r="C22" s="43"/>
      <c r="D22" s="34"/>
      <c r="E22" s="44" t="str">
        <f t="shared" si="0"/>
        <v/>
      </c>
    </row>
    <row r="23" spans="1:11" ht="18" customHeight="1">
      <c r="A23" s="55" t="s">
        <v>73</v>
      </c>
      <c r="B23" s="55"/>
      <c r="C23" s="43"/>
      <c r="D23" s="34"/>
      <c r="E23" s="44" t="str">
        <f t="shared" si="0"/>
        <v/>
      </c>
      <c r="J23" s="3"/>
      <c r="K23" s="4"/>
    </row>
    <row r="24" spans="1:11" ht="18" customHeight="1">
      <c r="A24" s="55" t="s">
        <v>73</v>
      </c>
      <c r="B24" s="55"/>
      <c r="C24" s="43"/>
      <c r="D24" s="34"/>
      <c r="E24" s="44" t="str">
        <f t="shared" si="0"/>
        <v/>
      </c>
      <c r="J24" s="3"/>
      <c r="K24" s="4"/>
    </row>
    <row r="25" spans="1:11" ht="18" customHeight="1">
      <c r="A25" s="55" t="s">
        <v>73</v>
      </c>
      <c r="B25" s="55"/>
      <c r="C25" s="43"/>
      <c r="D25" s="34"/>
      <c r="E25" s="44" t="str">
        <f t="shared" si="0"/>
        <v/>
      </c>
      <c r="J25" s="3"/>
      <c r="K25" s="4"/>
    </row>
    <row r="26" spans="1:11" ht="18" customHeight="1">
      <c r="A26" s="55" t="s">
        <v>73</v>
      </c>
      <c r="B26" s="55"/>
      <c r="C26" s="43"/>
      <c r="D26" s="34"/>
      <c r="E26" s="44" t="str">
        <f t="shared" si="0"/>
        <v/>
      </c>
      <c r="J26" s="3"/>
      <c r="K26" s="4"/>
    </row>
    <row r="27" spans="1:11" ht="18" customHeight="1">
      <c r="A27" s="55" t="s">
        <v>73</v>
      </c>
      <c r="B27" s="55"/>
      <c r="C27" s="43"/>
      <c r="D27" s="34"/>
      <c r="E27" s="44" t="str">
        <f t="shared" si="0"/>
        <v/>
      </c>
      <c r="J27" s="3"/>
      <c r="K27" s="4"/>
    </row>
    <row r="28" spans="1:11" ht="18.75" customHeight="1">
      <c r="A28" s="55" t="s">
        <v>73</v>
      </c>
      <c r="B28" s="55"/>
      <c r="C28" s="43"/>
      <c r="D28" s="34"/>
      <c r="E28" s="44" t="str">
        <f t="shared" si="0"/>
        <v/>
      </c>
      <c r="J28" s="3"/>
      <c r="K28" s="4"/>
    </row>
    <row r="29" spans="1:11" ht="19.5" customHeight="1">
      <c r="A29" s="55" t="s">
        <v>73</v>
      </c>
      <c r="B29" s="55"/>
      <c r="C29" s="43"/>
      <c r="D29" s="34"/>
      <c r="E29" s="44" t="str">
        <f t="shared" si="0"/>
        <v/>
      </c>
      <c r="J29" s="3"/>
      <c r="K29" s="4"/>
    </row>
    <row r="30" spans="1:11">
      <c r="A30" s="55" t="s">
        <v>73</v>
      </c>
      <c r="B30" s="55"/>
      <c r="C30" s="43"/>
      <c r="D30" s="34"/>
      <c r="E30" s="44" t="str">
        <f t="shared" si="0"/>
        <v/>
      </c>
      <c r="J30" s="3"/>
      <c r="K30" s="4"/>
    </row>
    <row r="31" spans="1:11" ht="19.5" customHeight="1">
      <c r="A31" s="55" t="s">
        <v>73</v>
      </c>
      <c r="B31" s="55"/>
      <c r="C31" s="43"/>
      <c r="D31" s="34"/>
      <c r="E31" s="44" t="str">
        <f t="shared" si="0"/>
        <v/>
      </c>
      <c r="J31" s="3"/>
      <c r="K31" s="4"/>
    </row>
    <row r="32" spans="1:11" ht="17.25" customHeight="1">
      <c r="A32" s="55" t="s">
        <v>73</v>
      </c>
      <c r="B32" s="55"/>
      <c r="C32" s="43"/>
      <c r="D32" s="34"/>
      <c r="E32" s="44" t="str">
        <f t="shared" si="0"/>
        <v/>
      </c>
      <c r="J32" s="3"/>
      <c r="K32" s="4"/>
    </row>
    <row r="33" spans="1:5" ht="18.75">
      <c r="A33" s="40">
        <f>SUM(C19:C32)</f>
        <v>0</v>
      </c>
      <c r="B33" s="60" t="s">
        <v>16</v>
      </c>
      <c r="C33" s="60"/>
      <c r="D33" s="41" t="s">
        <v>6</v>
      </c>
      <c r="E33" s="42">
        <f>SUM(E19:E32)</f>
        <v>0</v>
      </c>
    </row>
    <row r="35" spans="1:5">
      <c r="A35" s="25" t="s">
        <v>12</v>
      </c>
      <c r="B35" s="25"/>
      <c r="C35" s="25"/>
      <c r="D35" s="25"/>
      <c r="E35" s="25"/>
    </row>
    <row r="36" spans="1:5" ht="19.5" customHeight="1">
      <c r="A36" s="69" t="s">
        <v>18</v>
      </c>
      <c r="B36" s="69"/>
      <c r="C36" s="69"/>
      <c r="D36" s="69"/>
      <c r="E36" s="69"/>
    </row>
    <row r="37" spans="1:5">
      <c r="A37" s="23"/>
      <c r="B37" s="23"/>
      <c r="C37" s="23"/>
      <c r="D37" s="23"/>
      <c r="E37" s="23"/>
    </row>
    <row r="38" spans="1:5" ht="18">
      <c r="A38" s="23"/>
      <c r="B38" s="23"/>
      <c r="C38" s="23"/>
      <c r="D38" s="66" t="s">
        <v>13</v>
      </c>
      <c r="E38" s="66"/>
    </row>
    <row r="39" spans="1:5" ht="18">
      <c r="A39" s="23"/>
      <c r="B39" s="23"/>
      <c r="C39" s="23"/>
      <c r="D39" s="24"/>
      <c r="E39" s="24"/>
    </row>
    <row r="40" spans="1:5">
      <c r="A40" s="23"/>
      <c r="B40" s="23"/>
      <c r="C40" s="23"/>
      <c r="D40" s="23"/>
      <c r="E40" s="23"/>
    </row>
    <row r="41" spans="1:5" ht="15.75">
      <c r="B41" s="16" t="s">
        <v>14</v>
      </c>
    </row>
    <row r="44" spans="1:5">
      <c r="B44" s="58" t="s">
        <v>74</v>
      </c>
    </row>
    <row r="45" spans="1:5" ht="15.75" thickBot="1">
      <c r="B45" s="58"/>
    </row>
    <row r="46" spans="1:5" ht="15.75" thickTop="1">
      <c r="A46" s="59" t="s">
        <v>15</v>
      </c>
      <c r="B46" s="59"/>
      <c r="C46" s="59"/>
      <c r="D46" s="59"/>
      <c r="E46" s="59"/>
    </row>
    <row r="49" spans="1:1">
      <c r="A49" s="21"/>
    </row>
  </sheetData>
  <sheetProtection deleteColumns="0" deleteRows="0" selectLockedCells="1" selectUnlockedCells="1"/>
  <mergeCells count="23">
    <mergeCell ref="H15:L15"/>
    <mergeCell ref="B44:B45"/>
    <mergeCell ref="A46:E46"/>
    <mergeCell ref="B33:C33"/>
    <mergeCell ref="A1:E5"/>
    <mergeCell ref="A6:E7"/>
    <mergeCell ref="D38:E38"/>
    <mergeCell ref="A18:B18"/>
    <mergeCell ref="A19:B19"/>
    <mergeCell ref="A20:B20"/>
    <mergeCell ref="A30:B30"/>
    <mergeCell ref="A31:B31"/>
    <mergeCell ref="A32:B32"/>
    <mergeCell ref="A28:B28"/>
    <mergeCell ref="A21:B21"/>
    <mergeCell ref="A36:E36"/>
    <mergeCell ref="A29:B29"/>
    <mergeCell ref="A22:B22"/>
    <mergeCell ref="A23:B23"/>
    <mergeCell ref="A24:B24"/>
    <mergeCell ref="A25:B25"/>
    <mergeCell ref="A26:B26"/>
    <mergeCell ref="A27:B27"/>
  </mergeCells>
  <dataValidations count="10">
    <dataValidation type="date" allowBlank="1" showInputMessage="1" showErrorMessage="1" sqref="E16" xr:uid="{B06D4CF2-B56C-445F-887D-A9670B0A08DF}">
      <formula1>2024</formula1>
      <formula2>2030</formula2>
    </dataValidation>
    <dataValidation type="whole" allowBlank="1" showInputMessage="1" showErrorMessage="1" sqref="C15:C16" xr:uid="{C1B751AB-E4B0-4778-BF6B-511D304E9C51}">
      <formula1>1</formula1>
      <formula2>9999</formula2>
    </dataValidation>
    <dataValidation type="textLength" operator="equal" allowBlank="1" showInputMessage="1" showErrorMessage="1" sqref="D33" xr:uid="{F43CE844-B437-448E-A8C7-065FBF319C80}">
      <formula1>5</formula1>
    </dataValidation>
    <dataValidation type="textLength" showInputMessage="1" showErrorMessage="1" sqref="I18:XFD18 C18:G18 A18" xr:uid="{8F6C594C-0BCB-42EF-9D3D-4D0AD30FE089}">
      <formula1>2</formula1>
      <formula2>15</formula2>
    </dataValidation>
    <dataValidation type="time" operator="greaterThan" allowBlank="1" showInputMessage="1" showErrorMessage="1" sqref="E14" xr:uid="{9AD5B86E-767E-4C6C-AF57-927B66403B8E}">
      <formula1>0.208333333333333</formula1>
    </dataValidation>
    <dataValidation type="custom" showInputMessage="1" showErrorMessage="1" sqref="A33" xr:uid="{9B98E356-660B-4393-9F89-87C378AD3781}">
      <formula1>SUM(C19:C32)</formula1>
    </dataValidation>
    <dataValidation type="whole" operator="greaterThanOrEqual" allowBlank="1" showInputMessage="1" showErrorMessage="1" sqref="E19:E33" xr:uid="{16769660-16D9-4A91-9494-60F9031C3991}">
      <formula1>1</formula1>
    </dataValidation>
    <dataValidation type="whole" allowBlank="1" showInputMessage="1" showErrorMessage="1" sqref="C14" xr:uid="{8DCCC5D7-6C11-4195-9479-64EAB4E061CB}">
      <formula1>0</formula1>
      <formula2>9999999</formula2>
    </dataValidation>
    <dataValidation type="whole" operator="greaterThan" allowBlank="1" showInputMessage="1" showErrorMessage="1" sqref="D19:D32" xr:uid="{F1695581-F4A0-4E8C-9849-383CF920CBB4}">
      <formula1>50</formula1>
    </dataValidation>
    <dataValidation type="whole" allowBlank="1" showInputMessage="1" showErrorMessage="1" sqref="C19:C32" xr:uid="{442373FF-DF75-4A8D-B527-6F1CA7FFFDF8}">
      <formula1>1</formula1>
      <formula2>10000</formula2>
    </dataValidation>
  </dataValidations>
  <pageMargins left="0.25" right="0.25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MENU">
          <controlPr defaultSize="0" autoLine="0" r:id="rId5">
            <anchor moveWithCells="1">
              <from>
                <xdr:col>8</xdr:col>
                <xdr:colOff>9525</xdr:colOff>
                <xdr:row>6</xdr:row>
                <xdr:rowOff>19050</xdr:rowOff>
              </from>
              <to>
                <xdr:col>9</xdr:col>
                <xdr:colOff>723900</xdr:colOff>
                <xdr:row>9</xdr:row>
                <xdr:rowOff>0</xdr:rowOff>
              </to>
            </anchor>
          </controlPr>
        </control>
      </mc:Choice>
      <mc:Fallback>
        <control shapeId="1027" r:id="rId4" name="MENU"/>
      </mc:Fallback>
    </mc:AlternateContent>
    <mc:AlternateContent xmlns:mc="http://schemas.openxmlformats.org/markup-compatibility/2006">
      <mc:Choice Requires="x14">
        <control shapeId="1026" r:id="rId6" name="CreerPDFF">
          <controlPr defaultSize="0" autoLine="0" r:id="rId7">
            <anchor moveWithCells="1">
              <from>
                <xdr:col>5</xdr:col>
                <xdr:colOff>742950</xdr:colOff>
                <xdr:row>6</xdr:row>
                <xdr:rowOff>9525</xdr:rowOff>
              </from>
              <to>
                <xdr:col>7</xdr:col>
                <xdr:colOff>819150</xdr:colOff>
                <xdr:row>9</xdr:row>
                <xdr:rowOff>19050</xdr:rowOff>
              </to>
            </anchor>
          </controlPr>
        </control>
      </mc:Choice>
      <mc:Fallback>
        <control shapeId="1026" r:id="rId6" name="CreerPDFF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B071A4-8BC6-4DA1-B633-39AAF5B663A5}">
  <sheetPr codeName="Feuil1"/>
  <dimension ref="A1:D498"/>
  <sheetViews>
    <sheetView topLeftCell="A5" zoomScaleNormal="100" workbookViewId="0">
      <selection activeCell="F11" sqref="F11"/>
    </sheetView>
  </sheetViews>
  <sheetFormatPr baseColWidth="10" defaultRowHeight="15"/>
  <cols>
    <col min="1" max="1" width="37.5703125" style="54" customWidth="1"/>
    <col min="2" max="2" width="20.85546875" style="48" customWidth="1"/>
    <col min="3" max="3" width="15.7109375" style="27" customWidth="1"/>
    <col min="4" max="4" width="18.7109375" style="1" customWidth="1"/>
  </cols>
  <sheetData>
    <row r="1" spans="1:4" ht="21">
      <c r="A1" s="70" t="s">
        <v>19</v>
      </c>
      <c r="B1" s="71"/>
      <c r="C1" s="71"/>
      <c r="D1" s="71"/>
    </row>
    <row r="2" spans="1:4">
      <c r="A2" s="51" t="s">
        <v>8</v>
      </c>
      <c r="B2" s="46" t="s">
        <v>0</v>
      </c>
      <c r="C2" s="35" t="s">
        <v>1</v>
      </c>
      <c r="D2" s="49" t="s">
        <v>9</v>
      </c>
    </row>
    <row r="3" spans="1:4">
      <c r="A3" s="52" t="s">
        <v>32</v>
      </c>
      <c r="B3" s="47">
        <v>1500</v>
      </c>
      <c r="C3" s="2"/>
      <c r="D3" s="50">
        <v>10</v>
      </c>
    </row>
    <row r="4" spans="1:4">
      <c r="A4" s="52" t="s">
        <v>33</v>
      </c>
      <c r="B4" s="47">
        <v>2700</v>
      </c>
      <c r="C4" s="2"/>
      <c r="D4" s="50">
        <v>5</v>
      </c>
    </row>
    <row r="5" spans="1:4">
      <c r="A5" s="52" t="s">
        <v>34</v>
      </c>
      <c r="B5" s="47">
        <v>2600</v>
      </c>
      <c r="C5" s="2"/>
      <c r="D5" s="50">
        <v>11</v>
      </c>
    </row>
    <row r="6" spans="1:4">
      <c r="A6" s="52" t="s">
        <v>35</v>
      </c>
      <c r="B6" s="47">
        <v>2200</v>
      </c>
      <c r="C6" s="2"/>
      <c r="D6" s="50">
        <v>3</v>
      </c>
    </row>
    <row r="7" spans="1:4">
      <c r="A7" s="52" t="s">
        <v>36</v>
      </c>
      <c r="B7" s="47">
        <v>2500</v>
      </c>
      <c r="C7" s="2"/>
      <c r="D7" s="50">
        <v>4</v>
      </c>
    </row>
    <row r="8" spans="1:4">
      <c r="A8" s="52" t="s">
        <v>37</v>
      </c>
      <c r="B8" s="47">
        <v>1700</v>
      </c>
      <c r="C8" s="2"/>
      <c r="D8" s="50">
        <v>3</v>
      </c>
    </row>
    <row r="9" spans="1:4">
      <c r="A9" s="52" t="s">
        <v>38</v>
      </c>
      <c r="B9" s="47">
        <v>850</v>
      </c>
      <c r="C9" s="2"/>
      <c r="D9" s="50">
        <v>13</v>
      </c>
    </row>
    <row r="10" spans="1:4">
      <c r="A10" s="52" t="s">
        <v>39</v>
      </c>
      <c r="B10" s="47">
        <v>2000</v>
      </c>
      <c r="C10" s="2"/>
      <c r="D10" s="50">
        <v>10</v>
      </c>
    </row>
    <row r="11" spans="1:4">
      <c r="A11" s="52" t="s">
        <v>40</v>
      </c>
      <c r="B11" s="47">
        <v>800</v>
      </c>
      <c r="C11" s="2"/>
      <c r="D11" s="50">
        <v>15</v>
      </c>
    </row>
    <row r="12" spans="1:4">
      <c r="A12" s="52" t="s">
        <v>41</v>
      </c>
      <c r="B12" s="47">
        <v>850</v>
      </c>
      <c r="C12" s="2"/>
      <c r="D12" s="50">
        <v>10</v>
      </c>
    </row>
    <row r="13" spans="1:4">
      <c r="A13" s="52" t="s">
        <v>42</v>
      </c>
      <c r="B13" s="47">
        <v>1900</v>
      </c>
      <c r="C13" s="2"/>
      <c r="D13" s="50">
        <v>5</v>
      </c>
    </row>
    <row r="14" spans="1:4">
      <c r="A14" s="52" t="s">
        <v>43</v>
      </c>
      <c r="B14" s="47">
        <v>600</v>
      </c>
      <c r="C14" s="2"/>
      <c r="D14" s="50">
        <v>19</v>
      </c>
    </row>
    <row r="15" spans="1:4">
      <c r="A15" s="52" t="s">
        <v>44</v>
      </c>
      <c r="B15" s="47">
        <v>2000</v>
      </c>
      <c r="C15" s="28"/>
      <c r="D15" s="50">
        <v>10</v>
      </c>
    </row>
    <row r="16" spans="1:4">
      <c r="A16" s="52" t="s">
        <v>45</v>
      </c>
      <c r="B16" s="47">
        <v>500</v>
      </c>
      <c r="C16" s="2"/>
      <c r="D16" s="50">
        <v>21</v>
      </c>
    </row>
    <row r="17" spans="1:4">
      <c r="A17" s="52" t="s">
        <v>46</v>
      </c>
      <c r="B17" s="47">
        <v>1200</v>
      </c>
      <c r="C17" s="2"/>
      <c r="D17" s="50">
        <v>2</v>
      </c>
    </row>
    <row r="18" spans="1:4">
      <c r="A18" s="52" t="s">
        <v>47</v>
      </c>
      <c r="B18" s="47">
        <v>2200</v>
      </c>
      <c r="C18" s="2"/>
      <c r="D18" s="50">
        <v>1</v>
      </c>
    </row>
    <row r="19" spans="1:4">
      <c r="A19" s="52" t="s">
        <v>48</v>
      </c>
      <c r="B19" s="47">
        <v>1000</v>
      </c>
      <c r="C19" s="2"/>
      <c r="D19" s="50">
        <v>9</v>
      </c>
    </row>
    <row r="20" spans="1:4">
      <c r="A20" s="52" t="s">
        <v>49</v>
      </c>
      <c r="B20" s="47">
        <v>1350</v>
      </c>
      <c r="C20" s="2"/>
      <c r="D20" s="50">
        <v>5</v>
      </c>
    </row>
    <row r="21" spans="1:4">
      <c r="A21" s="52" t="s">
        <v>50</v>
      </c>
      <c r="B21" s="47">
        <v>2250</v>
      </c>
      <c r="C21" s="2"/>
      <c r="D21" s="50">
        <v>4</v>
      </c>
    </row>
    <row r="22" spans="1:4">
      <c r="A22" s="52" t="s">
        <v>51</v>
      </c>
      <c r="B22" s="47">
        <v>3800</v>
      </c>
      <c r="C22" s="2"/>
      <c r="D22" s="50">
        <v>3</v>
      </c>
    </row>
    <row r="23" spans="1:4">
      <c r="A23" s="52" t="s">
        <v>52</v>
      </c>
      <c r="B23" s="47">
        <v>2000</v>
      </c>
      <c r="C23" s="2"/>
      <c r="D23" s="50">
        <v>13</v>
      </c>
    </row>
    <row r="24" spans="1:4">
      <c r="A24" s="52" t="s">
        <v>53</v>
      </c>
      <c r="B24" s="47">
        <v>1600</v>
      </c>
      <c r="C24" s="2"/>
      <c r="D24" s="50">
        <v>11</v>
      </c>
    </row>
    <row r="25" spans="1:4">
      <c r="A25" s="52" t="s">
        <v>54</v>
      </c>
      <c r="B25" s="47">
        <v>1000</v>
      </c>
      <c r="C25" s="2"/>
      <c r="D25" s="50">
        <v>8</v>
      </c>
    </row>
    <row r="26" spans="1:4">
      <c r="A26" s="52" t="s">
        <v>55</v>
      </c>
      <c r="B26" s="47">
        <v>1000</v>
      </c>
      <c r="C26" s="28"/>
      <c r="D26" s="50">
        <v>7</v>
      </c>
    </row>
    <row r="27" spans="1:4">
      <c r="A27" s="52" t="s">
        <v>56</v>
      </c>
      <c r="B27" s="47">
        <v>6600</v>
      </c>
      <c r="C27" s="2"/>
      <c r="D27" s="50">
        <v>4</v>
      </c>
    </row>
    <row r="28" spans="1:4">
      <c r="A28" s="52" t="s">
        <v>57</v>
      </c>
      <c r="B28" s="47">
        <v>450</v>
      </c>
      <c r="C28" s="2"/>
      <c r="D28" s="50">
        <v>41</v>
      </c>
    </row>
    <row r="29" spans="1:4">
      <c r="A29" s="52" t="s">
        <v>58</v>
      </c>
      <c r="B29" s="47">
        <v>500</v>
      </c>
      <c r="C29" s="2"/>
      <c r="D29" s="50">
        <v>44</v>
      </c>
    </row>
    <row r="30" spans="1:4">
      <c r="A30" s="52" t="s">
        <v>59</v>
      </c>
      <c r="B30" s="47">
        <v>400</v>
      </c>
      <c r="C30" s="2"/>
      <c r="D30" s="50">
        <v>29</v>
      </c>
    </row>
    <row r="31" spans="1:4">
      <c r="A31" s="52" t="s">
        <v>60</v>
      </c>
      <c r="B31" s="47">
        <v>800</v>
      </c>
      <c r="C31" s="2"/>
      <c r="D31" s="50">
        <v>19</v>
      </c>
    </row>
    <row r="32" spans="1:4">
      <c r="A32" s="52" t="s">
        <v>61</v>
      </c>
      <c r="B32" s="47">
        <v>250</v>
      </c>
      <c r="C32" s="2"/>
      <c r="D32" s="50">
        <v>12</v>
      </c>
    </row>
    <row r="33" spans="1:4">
      <c r="A33" s="52" t="s">
        <v>62</v>
      </c>
      <c r="B33" s="47">
        <v>500</v>
      </c>
      <c r="C33" s="2"/>
      <c r="D33" s="50">
        <v>12</v>
      </c>
    </row>
    <row r="34" spans="1:4">
      <c r="A34" s="52" t="s">
        <v>63</v>
      </c>
      <c r="B34" s="47">
        <v>700</v>
      </c>
      <c r="C34" s="2"/>
      <c r="D34" s="50">
        <v>17</v>
      </c>
    </row>
    <row r="35" spans="1:4">
      <c r="A35" s="52" t="s">
        <v>64</v>
      </c>
      <c r="B35" s="47">
        <v>600</v>
      </c>
      <c r="C35" s="2"/>
      <c r="D35" s="50">
        <v>11</v>
      </c>
    </row>
    <row r="36" spans="1:4">
      <c r="A36" s="52" t="s">
        <v>65</v>
      </c>
      <c r="B36" s="47">
        <v>700</v>
      </c>
      <c r="C36" s="2"/>
      <c r="D36" s="50">
        <v>12</v>
      </c>
    </row>
    <row r="37" spans="1:4">
      <c r="A37" s="52" t="s">
        <v>66</v>
      </c>
      <c r="B37" s="47">
        <v>700</v>
      </c>
      <c r="C37" s="2"/>
      <c r="D37" s="50">
        <v>7</v>
      </c>
    </row>
    <row r="38" spans="1:4">
      <c r="A38" s="52" t="s">
        <v>67</v>
      </c>
      <c r="B38" s="47">
        <v>500</v>
      </c>
      <c r="C38" s="2"/>
      <c r="D38" s="50">
        <v>1</v>
      </c>
    </row>
    <row r="39" spans="1:4">
      <c r="A39" s="52"/>
      <c r="B39" s="47"/>
      <c r="C39" s="28"/>
      <c r="D39" s="50"/>
    </row>
    <row r="40" spans="1:4">
      <c r="A40" s="52"/>
      <c r="B40" s="47"/>
      <c r="C40" s="28"/>
      <c r="D40" s="50"/>
    </row>
    <row r="41" spans="1:4">
      <c r="A41" s="52"/>
      <c r="B41" s="47"/>
      <c r="C41" s="28"/>
      <c r="D41" s="50"/>
    </row>
    <row r="42" spans="1:4">
      <c r="A42" s="52"/>
      <c r="B42" s="47"/>
      <c r="C42" s="28"/>
      <c r="D42" s="50"/>
    </row>
    <row r="43" spans="1:4">
      <c r="A43" s="52"/>
      <c r="B43" s="47"/>
      <c r="C43" s="28"/>
      <c r="D43" s="50"/>
    </row>
    <row r="44" spans="1:4">
      <c r="A44" s="52"/>
      <c r="B44" s="47"/>
      <c r="C44" s="28"/>
      <c r="D44" s="50"/>
    </row>
    <row r="45" spans="1:4">
      <c r="A45" s="52"/>
      <c r="B45" s="47"/>
      <c r="C45" s="28"/>
      <c r="D45" s="50"/>
    </row>
    <row r="46" spans="1:4">
      <c r="A46" s="52"/>
      <c r="B46" s="47"/>
      <c r="C46" s="28"/>
      <c r="D46" s="50"/>
    </row>
    <row r="47" spans="1:4">
      <c r="A47" s="52"/>
      <c r="B47" s="47"/>
      <c r="C47" s="28"/>
      <c r="D47" s="50"/>
    </row>
    <row r="48" spans="1:4">
      <c r="A48" s="52"/>
      <c r="B48" s="47"/>
      <c r="C48" s="28"/>
      <c r="D48" s="50"/>
    </row>
    <row r="49" spans="1:4">
      <c r="A49" s="52"/>
      <c r="B49" s="47"/>
      <c r="C49" s="28"/>
      <c r="D49" s="50"/>
    </row>
    <row r="50" spans="1:4">
      <c r="A50" s="52"/>
      <c r="B50" s="47"/>
      <c r="C50" s="28"/>
      <c r="D50" s="50"/>
    </row>
    <row r="51" spans="1:4">
      <c r="A51" s="52"/>
      <c r="B51" s="47"/>
      <c r="C51" s="28"/>
      <c r="D51" s="50"/>
    </row>
    <row r="52" spans="1:4">
      <c r="A52" s="52"/>
      <c r="B52" s="47"/>
      <c r="C52" s="28"/>
      <c r="D52" s="50"/>
    </row>
    <row r="53" spans="1:4">
      <c r="A53" s="52"/>
      <c r="B53" s="47"/>
      <c r="C53" s="28"/>
      <c r="D53" s="50"/>
    </row>
    <row r="54" spans="1:4">
      <c r="A54" s="52"/>
      <c r="B54" s="47"/>
      <c r="C54" s="28"/>
      <c r="D54" s="50"/>
    </row>
    <row r="55" spans="1:4">
      <c r="A55" s="52"/>
      <c r="B55" s="47"/>
      <c r="C55" s="28"/>
      <c r="D55" s="50"/>
    </row>
    <row r="56" spans="1:4">
      <c r="A56" s="52"/>
      <c r="B56" s="47"/>
      <c r="C56" s="28"/>
      <c r="D56" s="50"/>
    </row>
    <row r="57" spans="1:4">
      <c r="A57" s="52"/>
      <c r="B57" s="47"/>
      <c r="C57" s="28"/>
      <c r="D57" s="50"/>
    </row>
    <row r="58" spans="1:4">
      <c r="A58" s="52"/>
      <c r="B58" s="47"/>
      <c r="C58" s="28"/>
      <c r="D58" s="50"/>
    </row>
    <row r="59" spans="1:4">
      <c r="A59" s="52"/>
      <c r="B59" s="47"/>
      <c r="C59" s="28"/>
      <c r="D59" s="50"/>
    </row>
    <row r="60" spans="1:4">
      <c r="A60" s="52"/>
      <c r="B60" s="47"/>
      <c r="C60" s="28"/>
      <c r="D60" s="50"/>
    </row>
    <row r="61" spans="1:4">
      <c r="A61" s="52"/>
      <c r="B61" s="47"/>
      <c r="C61" s="28"/>
      <c r="D61" s="50"/>
    </row>
    <row r="62" spans="1:4">
      <c r="A62" s="52"/>
      <c r="B62" s="47"/>
      <c r="C62" s="28"/>
      <c r="D62" s="50"/>
    </row>
    <row r="63" spans="1:4">
      <c r="A63" s="52"/>
      <c r="B63" s="47"/>
      <c r="C63" s="28"/>
      <c r="D63" s="50"/>
    </row>
    <row r="64" spans="1:4">
      <c r="A64" s="52"/>
      <c r="B64" s="47"/>
      <c r="C64" s="28"/>
      <c r="D64" s="50"/>
    </row>
    <row r="65" spans="1:4">
      <c r="A65" s="52"/>
      <c r="B65" s="47"/>
      <c r="C65" s="28"/>
      <c r="D65" s="50"/>
    </row>
    <row r="66" spans="1:4">
      <c r="A66" s="52"/>
      <c r="B66" s="47"/>
      <c r="C66" s="28"/>
      <c r="D66" s="50"/>
    </row>
    <row r="67" spans="1:4">
      <c r="A67" s="52"/>
      <c r="B67" s="47"/>
      <c r="C67" s="28"/>
      <c r="D67" s="50"/>
    </row>
    <row r="68" spans="1:4">
      <c r="A68" s="52"/>
      <c r="B68" s="47"/>
      <c r="C68" s="28"/>
      <c r="D68" s="50"/>
    </row>
    <row r="69" spans="1:4">
      <c r="A69" s="52"/>
      <c r="B69" s="47"/>
      <c r="C69" s="28"/>
      <c r="D69" s="50"/>
    </row>
    <row r="70" spans="1:4">
      <c r="A70" s="52"/>
      <c r="B70" s="47"/>
      <c r="C70" s="28"/>
      <c r="D70" s="50"/>
    </row>
    <row r="71" spans="1:4">
      <c r="A71" s="52"/>
      <c r="B71" s="47"/>
      <c r="C71" s="28"/>
      <c r="D71" s="50"/>
    </row>
    <row r="72" spans="1:4">
      <c r="A72" s="52"/>
      <c r="B72" s="47"/>
      <c r="C72" s="28"/>
      <c r="D72" s="50"/>
    </row>
    <row r="73" spans="1:4">
      <c r="A73" s="52"/>
      <c r="B73" s="47"/>
      <c r="C73" s="28"/>
      <c r="D73" s="50"/>
    </row>
    <row r="74" spans="1:4">
      <c r="A74" s="52"/>
      <c r="B74" s="47"/>
      <c r="C74" s="28"/>
      <c r="D74" s="50"/>
    </row>
    <row r="75" spans="1:4">
      <c r="A75" s="52"/>
      <c r="B75" s="47"/>
      <c r="C75" s="28"/>
      <c r="D75" s="50"/>
    </row>
    <row r="76" spans="1:4">
      <c r="A76" s="52"/>
      <c r="B76" s="47"/>
      <c r="C76" s="28"/>
      <c r="D76" s="50"/>
    </row>
    <row r="77" spans="1:4">
      <c r="A77" s="52"/>
      <c r="B77" s="47"/>
      <c r="C77" s="28"/>
      <c r="D77" s="50"/>
    </row>
    <row r="78" spans="1:4">
      <c r="A78" s="52"/>
      <c r="B78" s="47"/>
      <c r="C78" s="28"/>
      <c r="D78" s="50"/>
    </row>
    <row r="79" spans="1:4">
      <c r="A79" s="52"/>
      <c r="B79" s="47"/>
      <c r="C79" s="28"/>
      <c r="D79" s="50"/>
    </row>
    <row r="80" spans="1:4">
      <c r="A80" s="52"/>
      <c r="B80" s="47"/>
      <c r="C80" s="28"/>
      <c r="D80" s="50"/>
    </row>
    <row r="81" spans="1:4">
      <c r="A81" s="52"/>
      <c r="B81" s="47"/>
      <c r="C81" s="28"/>
      <c r="D81" s="50"/>
    </row>
    <row r="82" spans="1:4">
      <c r="A82" s="52"/>
      <c r="B82" s="47"/>
      <c r="C82" s="28"/>
      <c r="D82" s="50"/>
    </row>
    <row r="83" spans="1:4">
      <c r="A83" s="52"/>
      <c r="B83" s="47"/>
      <c r="C83" s="28"/>
      <c r="D83" s="50"/>
    </row>
    <row r="84" spans="1:4">
      <c r="A84" s="52"/>
      <c r="B84" s="47"/>
      <c r="C84" s="28"/>
      <c r="D84" s="50"/>
    </row>
    <row r="85" spans="1:4">
      <c r="A85" s="52"/>
      <c r="B85" s="47"/>
      <c r="C85" s="28"/>
      <c r="D85" s="50"/>
    </row>
    <row r="86" spans="1:4">
      <c r="A86" s="52"/>
      <c r="B86" s="47"/>
      <c r="C86" s="28"/>
      <c r="D86" s="50"/>
    </row>
    <row r="87" spans="1:4">
      <c r="A87" s="52"/>
      <c r="B87" s="47"/>
      <c r="C87" s="28"/>
      <c r="D87" s="50"/>
    </row>
    <row r="88" spans="1:4">
      <c r="A88" s="52"/>
      <c r="B88" s="47"/>
      <c r="C88" s="28"/>
      <c r="D88" s="50"/>
    </row>
    <row r="89" spans="1:4">
      <c r="A89" s="52"/>
      <c r="B89" s="47"/>
      <c r="C89" s="28"/>
      <c r="D89" s="50"/>
    </row>
    <row r="90" spans="1:4">
      <c r="A90" s="52"/>
      <c r="B90" s="47"/>
      <c r="C90" s="28"/>
      <c r="D90" s="50"/>
    </row>
    <row r="91" spans="1:4">
      <c r="A91" s="52"/>
      <c r="B91" s="47"/>
      <c r="C91" s="28"/>
      <c r="D91" s="50"/>
    </row>
    <row r="92" spans="1:4">
      <c r="A92" s="52"/>
      <c r="B92" s="47"/>
      <c r="C92" s="28"/>
      <c r="D92" s="50"/>
    </row>
    <row r="93" spans="1:4">
      <c r="A93" s="52"/>
      <c r="B93" s="47"/>
      <c r="C93" s="28"/>
      <c r="D93" s="50"/>
    </row>
    <row r="94" spans="1:4">
      <c r="A94" s="52"/>
      <c r="B94" s="47"/>
      <c r="C94" s="28"/>
      <c r="D94" s="50"/>
    </row>
    <row r="95" spans="1:4">
      <c r="A95" s="52"/>
      <c r="B95" s="47"/>
      <c r="C95" s="28"/>
      <c r="D95" s="50"/>
    </row>
    <row r="96" spans="1:4">
      <c r="A96" s="52"/>
      <c r="B96" s="47"/>
      <c r="C96" s="28"/>
      <c r="D96" s="50"/>
    </row>
    <row r="97" spans="1:4">
      <c r="A97" s="52"/>
      <c r="B97" s="47"/>
      <c r="C97" s="28"/>
      <c r="D97" s="50"/>
    </row>
    <row r="98" spans="1:4">
      <c r="A98" s="52"/>
      <c r="B98" s="47"/>
      <c r="C98" s="28"/>
      <c r="D98" s="50"/>
    </row>
    <row r="99" spans="1:4">
      <c r="A99" s="52"/>
      <c r="B99" s="47"/>
      <c r="C99" s="28"/>
      <c r="D99" s="50"/>
    </row>
    <row r="100" spans="1:4">
      <c r="A100" s="52"/>
      <c r="B100" s="47"/>
      <c r="C100" s="28"/>
      <c r="D100" s="50"/>
    </row>
    <row r="101" spans="1:4">
      <c r="A101" s="52"/>
      <c r="B101" s="47"/>
      <c r="C101" s="28"/>
      <c r="D101" s="50"/>
    </row>
    <row r="102" spans="1:4">
      <c r="A102" s="52"/>
      <c r="B102" s="47"/>
      <c r="C102" s="28"/>
      <c r="D102" s="50"/>
    </row>
    <row r="103" spans="1:4">
      <c r="A103" s="52"/>
      <c r="B103" s="47"/>
      <c r="C103" s="28"/>
      <c r="D103" s="50"/>
    </row>
    <row r="104" spans="1:4">
      <c r="A104" s="52"/>
      <c r="B104" s="47"/>
      <c r="C104" s="28"/>
      <c r="D104" s="50"/>
    </row>
    <row r="105" spans="1:4">
      <c r="A105" s="52"/>
      <c r="B105" s="47"/>
      <c r="C105" s="28"/>
      <c r="D105" s="50"/>
    </row>
    <row r="106" spans="1:4">
      <c r="A106" s="52"/>
      <c r="B106" s="47"/>
      <c r="C106" s="28"/>
      <c r="D106" s="50"/>
    </row>
    <row r="107" spans="1:4">
      <c r="A107" s="52"/>
      <c r="B107" s="47"/>
      <c r="C107" s="28"/>
      <c r="D107" s="50"/>
    </row>
    <row r="108" spans="1:4">
      <c r="A108" s="52"/>
      <c r="B108" s="47"/>
      <c r="C108" s="28"/>
      <c r="D108" s="50"/>
    </row>
    <row r="109" spans="1:4">
      <c r="A109" s="52"/>
      <c r="B109" s="47"/>
      <c r="C109" s="28"/>
      <c r="D109" s="50"/>
    </row>
    <row r="110" spans="1:4">
      <c r="A110" s="52"/>
      <c r="B110" s="47"/>
      <c r="C110" s="28"/>
      <c r="D110" s="50"/>
    </row>
    <row r="111" spans="1:4">
      <c r="A111" s="52"/>
      <c r="B111" s="47"/>
      <c r="C111" s="28"/>
      <c r="D111" s="50"/>
    </row>
    <row r="112" spans="1:4">
      <c r="A112" s="52"/>
      <c r="B112" s="47"/>
      <c r="C112" s="28"/>
      <c r="D112" s="50"/>
    </row>
    <row r="113" spans="1:4">
      <c r="A113" s="52"/>
      <c r="B113" s="47"/>
      <c r="C113" s="28"/>
      <c r="D113" s="50"/>
    </row>
    <row r="114" spans="1:4">
      <c r="A114" s="52"/>
      <c r="B114" s="47"/>
      <c r="C114" s="28"/>
      <c r="D114" s="50"/>
    </row>
    <row r="115" spans="1:4">
      <c r="A115" s="52"/>
      <c r="B115" s="47"/>
      <c r="C115" s="28"/>
      <c r="D115" s="50"/>
    </row>
    <row r="116" spans="1:4">
      <c r="A116" s="52"/>
      <c r="B116" s="47"/>
      <c r="C116" s="28"/>
      <c r="D116" s="50"/>
    </row>
    <row r="117" spans="1:4">
      <c r="A117" s="52"/>
      <c r="B117" s="47"/>
      <c r="C117" s="28"/>
      <c r="D117" s="50"/>
    </row>
    <row r="118" spans="1:4">
      <c r="A118" s="52"/>
      <c r="B118" s="47"/>
      <c r="C118" s="28"/>
      <c r="D118" s="50"/>
    </row>
    <row r="119" spans="1:4">
      <c r="A119" s="52"/>
      <c r="B119" s="47"/>
      <c r="C119" s="28"/>
      <c r="D119" s="50"/>
    </row>
    <row r="120" spans="1:4">
      <c r="A120" s="52"/>
      <c r="B120" s="47"/>
      <c r="C120" s="28"/>
      <c r="D120" s="50"/>
    </row>
    <row r="121" spans="1:4">
      <c r="A121" s="52"/>
      <c r="B121" s="47"/>
      <c r="C121" s="28"/>
      <c r="D121" s="50"/>
    </row>
    <row r="122" spans="1:4">
      <c r="A122" s="52"/>
      <c r="B122" s="47"/>
      <c r="C122" s="28"/>
      <c r="D122" s="50"/>
    </row>
    <row r="123" spans="1:4">
      <c r="A123" s="52"/>
      <c r="B123" s="47"/>
      <c r="C123" s="28"/>
      <c r="D123" s="50"/>
    </row>
    <row r="124" spans="1:4">
      <c r="A124" s="52"/>
      <c r="B124" s="47"/>
      <c r="C124" s="28"/>
      <c r="D124" s="50"/>
    </row>
    <row r="125" spans="1:4">
      <c r="A125" s="52"/>
      <c r="B125" s="47"/>
      <c r="C125" s="28"/>
      <c r="D125" s="50"/>
    </row>
    <row r="126" spans="1:4">
      <c r="A126" s="52"/>
      <c r="B126" s="47"/>
      <c r="C126" s="28"/>
      <c r="D126" s="50"/>
    </row>
    <row r="127" spans="1:4">
      <c r="A127" s="52"/>
      <c r="B127" s="47"/>
      <c r="C127" s="28"/>
      <c r="D127" s="50"/>
    </row>
    <row r="128" spans="1:4">
      <c r="A128" s="52"/>
      <c r="B128" s="47"/>
      <c r="C128" s="28"/>
      <c r="D128" s="50"/>
    </row>
    <row r="129" spans="1:4">
      <c r="A129" s="52"/>
      <c r="B129" s="47"/>
      <c r="C129" s="28"/>
      <c r="D129" s="50"/>
    </row>
    <row r="130" spans="1:4">
      <c r="A130" s="52"/>
      <c r="B130" s="47"/>
      <c r="C130" s="28"/>
      <c r="D130" s="50"/>
    </row>
    <row r="131" spans="1:4">
      <c r="A131" s="52"/>
      <c r="B131" s="47"/>
      <c r="C131" s="28"/>
      <c r="D131" s="50"/>
    </row>
    <row r="132" spans="1:4">
      <c r="A132" s="52"/>
      <c r="B132" s="47"/>
      <c r="C132" s="28"/>
      <c r="D132" s="50"/>
    </row>
    <row r="133" spans="1:4">
      <c r="A133" s="52"/>
      <c r="B133" s="47"/>
      <c r="C133" s="28"/>
      <c r="D133" s="50"/>
    </row>
    <row r="134" spans="1:4">
      <c r="A134" s="52"/>
      <c r="B134" s="47"/>
      <c r="C134" s="28"/>
      <c r="D134" s="50"/>
    </row>
    <row r="135" spans="1:4">
      <c r="A135" s="52"/>
      <c r="B135" s="47"/>
      <c r="C135" s="28"/>
      <c r="D135" s="50"/>
    </row>
    <row r="136" spans="1:4">
      <c r="A136" s="52"/>
      <c r="B136" s="47"/>
      <c r="C136" s="28"/>
      <c r="D136" s="50"/>
    </row>
    <row r="137" spans="1:4">
      <c r="A137" s="52"/>
      <c r="B137" s="47"/>
      <c r="C137" s="28"/>
      <c r="D137" s="50"/>
    </row>
    <row r="138" spans="1:4">
      <c r="A138" s="52"/>
      <c r="B138" s="47"/>
      <c r="C138" s="28"/>
      <c r="D138" s="50"/>
    </row>
    <row r="139" spans="1:4">
      <c r="A139" s="52"/>
      <c r="B139" s="47"/>
      <c r="C139" s="28"/>
      <c r="D139" s="50"/>
    </row>
    <row r="140" spans="1:4">
      <c r="A140" s="52"/>
      <c r="B140" s="47"/>
      <c r="C140" s="28"/>
      <c r="D140" s="50"/>
    </row>
    <row r="141" spans="1:4">
      <c r="A141" s="52"/>
      <c r="B141" s="47"/>
      <c r="C141" s="28"/>
      <c r="D141" s="50"/>
    </row>
    <row r="142" spans="1:4">
      <c r="A142" s="52"/>
      <c r="B142" s="47"/>
      <c r="C142" s="28"/>
      <c r="D142" s="50"/>
    </row>
    <row r="143" spans="1:4">
      <c r="A143" s="52"/>
      <c r="B143" s="47"/>
      <c r="C143" s="28"/>
      <c r="D143" s="50"/>
    </row>
    <row r="144" spans="1:4">
      <c r="A144" s="52"/>
      <c r="B144" s="47"/>
      <c r="C144" s="28"/>
      <c r="D144" s="50"/>
    </row>
    <row r="145" spans="1:4">
      <c r="A145" s="52"/>
      <c r="B145" s="47"/>
      <c r="C145" s="28"/>
      <c r="D145" s="50"/>
    </row>
    <row r="146" spans="1:4">
      <c r="A146" s="52"/>
      <c r="B146" s="47"/>
      <c r="C146" s="28"/>
      <c r="D146" s="50"/>
    </row>
    <row r="147" spans="1:4">
      <c r="A147" s="52"/>
      <c r="B147" s="47"/>
      <c r="C147" s="28"/>
      <c r="D147" s="50"/>
    </row>
    <row r="148" spans="1:4">
      <c r="A148" s="52"/>
      <c r="B148" s="47"/>
      <c r="C148" s="28"/>
      <c r="D148" s="50"/>
    </row>
    <row r="149" spans="1:4">
      <c r="A149" s="52"/>
      <c r="B149" s="47"/>
      <c r="C149" s="28"/>
      <c r="D149" s="50"/>
    </row>
    <row r="150" spans="1:4">
      <c r="A150" s="52"/>
      <c r="B150" s="47"/>
      <c r="C150" s="28"/>
      <c r="D150" s="50"/>
    </row>
    <row r="151" spans="1:4">
      <c r="A151" s="52"/>
      <c r="B151" s="47"/>
      <c r="C151" s="28"/>
      <c r="D151" s="50"/>
    </row>
    <row r="152" spans="1:4">
      <c r="A152" s="52"/>
      <c r="B152" s="47"/>
      <c r="C152" s="28"/>
      <c r="D152" s="50"/>
    </row>
    <row r="153" spans="1:4">
      <c r="A153" s="52"/>
      <c r="B153" s="47"/>
      <c r="C153" s="28"/>
      <c r="D153" s="50"/>
    </row>
    <row r="154" spans="1:4">
      <c r="A154" s="52"/>
      <c r="B154" s="47"/>
      <c r="C154" s="28"/>
      <c r="D154" s="50"/>
    </row>
    <row r="155" spans="1:4">
      <c r="A155" s="52"/>
      <c r="B155" s="47"/>
      <c r="C155" s="28"/>
      <c r="D155" s="50"/>
    </row>
    <row r="156" spans="1:4">
      <c r="A156" s="52"/>
      <c r="B156" s="47"/>
      <c r="C156" s="28"/>
      <c r="D156" s="50"/>
    </row>
    <row r="157" spans="1:4">
      <c r="A157" s="52"/>
      <c r="B157" s="47"/>
      <c r="C157" s="28"/>
      <c r="D157" s="50"/>
    </row>
    <row r="158" spans="1:4">
      <c r="A158" s="52"/>
      <c r="B158" s="47"/>
      <c r="C158" s="28"/>
      <c r="D158" s="50"/>
    </row>
    <row r="159" spans="1:4">
      <c r="A159" s="52"/>
      <c r="B159" s="47"/>
      <c r="C159" s="28"/>
      <c r="D159" s="50"/>
    </row>
    <row r="160" spans="1:4">
      <c r="A160" s="52"/>
      <c r="B160" s="47"/>
      <c r="C160" s="28"/>
      <c r="D160" s="50"/>
    </row>
    <row r="161" spans="1:4">
      <c r="A161" s="52"/>
      <c r="B161" s="47"/>
      <c r="C161" s="28"/>
      <c r="D161" s="50"/>
    </row>
    <row r="162" spans="1:4">
      <c r="A162" s="52"/>
      <c r="B162" s="47"/>
      <c r="C162" s="28"/>
      <c r="D162" s="50"/>
    </row>
    <row r="163" spans="1:4">
      <c r="A163" s="52"/>
      <c r="B163" s="47"/>
      <c r="C163" s="28"/>
      <c r="D163" s="50"/>
    </row>
    <row r="164" spans="1:4">
      <c r="A164" s="52"/>
      <c r="B164" s="47"/>
      <c r="C164" s="28"/>
      <c r="D164" s="50"/>
    </row>
    <row r="165" spans="1:4">
      <c r="A165" s="52"/>
      <c r="B165" s="47"/>
      <c r="C165" s="28"/>
      <c r="D165" s="50"/>
    </row>
    <row r="166" spans="1:4">
      <c r="A166" s="52"/>
      <c r="B166" s="47"/>
      <c r="C166" s="28"/>
      <c r="D166" s="50"/>
    </row>
    <row r="167" spans="1:4">
      <c r="A167" s="52"/>
      <c r="B167" s="47"/>
      <c r="C167" s="28"/>
      <c r="D167" s="50"/>
    </row>
    <row r="168" spans="1:4">
      <c r="A168" s="52"/>
      <c r="B168" s="47"/>
      <c r="C168" s="28"/>
      <c r="D168" s="50"/>
    </row>
    <row r="169" spans="1:4">
      <c r="A169" s="52"/>
      <c r="B169" s="47"/>
      <c r="C169" s="28"/>
      <c r="D169" s="50"/>
    </row>
    <row r="170" spans="1:4">
      <c r="A170" s="52"/>
      <c r="B170" s="47"/>
      <c r="C170" s="28"/>
      <c r="D170" s="50"/>
    </row>
    <row r="171" spans="1:4">
      <c r="A171" s="52"/>
      <c r="B171" s="47"/>
      <c r="C171" s="28"/>
      <c r="D171" s="50"/>
    </row>
    <row r="172" spans="1:4">
      <c r="A172" s="52"/>
      <c r="B172" s="47"/>
      <c r="C172" s="28"/>
      <c r="D172" s="50"/>
    </row>
    <row r="173" spans="1:4">
      <c r="A173" s="52"/>
      <c r="B173" s="47"/>
      <c r="C173" s="28"/>
      <c r="D173" s="50"/>
    </row>
    <row r="174" spans="1:4">
      <c r="A174" s="52"/>
      <c r="B174" s="47"/>
      <c r="C174" s="28"/>
      <c r="D174" s="50"/>
    </row>
    <row r="175" spans="1:4">
      <c r="A175" s="52"/>
      <c r="B175" s="47"/>
      <c r="C175" s="28"/>
      <c r="D175" s="50"/>
    </row>
    <row r="176" spans="1:4">
      <c r="A176" s="52"/>
      <c r="B176" s="47"/>
      <c r="C176" s="28"/>
      <c r="D176" s="50"/>
    </row>
    <row r="177" spans="1:4">
      <c r="A177" s="52"/>
      <c r="B177" s="47"/>
      <c r="C177" s="28"/>
      <c r="D177" s="50"/>
    </row>
    <row r="178" spans="1:4">
      <c r="A178" s="52"/>
      <c r="B178" s="47"/>
      <c r="C178" s="28"/>
      <c r="D178" s="50"/>
    </row>
    <row r="179" spans="1:4">
      <c r="A179" s="52"/>
      <c r="B179" s="47"/>
      <c r="C179" s="28"/>
      <c r="D179" s="50"/>
    </row>
    <row r="180" spans="1:4">
      <c r="A180" s="52"/>
      <c r="B180" s="47"/>
      <c r="C180" s="28"/>
      <c r="D180" s="50"/>
    </row>
    <row r="181" spans="1:4">
      <c r="A181" s="52"/>
      <c r="B181" s="47"/>
      <c r="C181" s="28"/>
      <c r="D181" s="50"/>
    </row>
    <row r="182" spans="1:4">
      <c r="A182" s="52"/>
      <c r="B182" s="47"/>
      <c r="C182" s="28"/>
      <c r="D182" s="50"/>
    </row>
    <row r="183" spans="1:4">
      <c r="A183" s="52"/>
      <c r="B183" s="47"/>
      <c r="C183" s="28"/>
      <c r="D183" s="50"/>
    </row>
    <row r="184" spans="1:4">
      <c r="A184" s="52"/>
      <c r="B184" s="47"/>
      <c r="C184" s="28"/>
      <c r="D184" s="50"/>
    </row>
    <row r="185" spans="1:4">
      <c r="A185" s="52"/>
      <c r="B185" s="47"/>
      <c r="C185" s="28"/>
      <c r="D185" s="50"/>
    </row>
    <row r="186" spans="1:4">
      <c r="A186" s="52"/>
      <c r="B186" s="47"/>
      <c r="C186" s="28"/>
      <c r="D186" s="50"/>
    </row>
    <row r="187" spans="1:4">
      <c r="A187" s="52"/>
      <c r="B187" s="47"/>
      <c r="C187" s="28"/>
      <c r="D187" s="50"/>
    </row>
    <row r="188" spans="1:4">
      <c r="A188" s="52"/>
      <c r="B188" s="47"/>
      <c r="C188" s="28"/>
      <c r="D188" s="50"/>
    </row>
    <row r="189" spans="1:4">
      <c r="A189" s="52"/>
      <c r="B189" s="47"/>
      <c r="C189" s="28"/>
      <c r="D189" s="50"/>
    </row>
    <row r="190" spans="1:4">
      <c r="A190" s="52"/>
      <c r="B190" s="47"/>
      <c r="C190" s="28"/>
      <c r="D190" s="50"/>
    </row>
    <row r="191" spans="1:4">
      <c r="A191" s="52"/>
      <c r="B191" s="47"/>
      <c r="C191" s="28"/>
      <c r="D191" s="50"/>
    </row>
    <row r="192" spans="1:4">
      <c r="A192" s="52"/>
      <c r="B192" s="47"/>
      <c r="C192" s="28"/>
      <c r="D192" s="50"/>
    </row>
    <row r="193" spans="1:4">
      <c r="A193" s="52"/>
      <c r="B193" s="47"/>
      <c r="C193" s="28"/>
      <c r="D193" s="50"/>
    </row>
    <row r="194" spans="1:4">
      <c r="A194" s="52"/>
      <c r="B194" s="47"/>
      <c r="C194" s="28"/>
      <c r="D194" s="50"/>
    </row>
    <row r="195" spans="1:4">
      <c r="A195" s="52"/>
      <c r="B195" s="47"/>
      <c r="C195" s="28"/>
      <c r="D195" s="50"/>
    </row>
    <row r="196" spans="1:4">
      <c r="A196" s="52"/>
      <c r="B196" s="47"/>
      <c r="C196" s="28"/>
      <c r="D196" s="50"/>
    </row>
    <row r="197" spans="1:4">
      <c r="A197" s="52"/>
      <c r="B197" s="47"/>
      <c r="C197" s="28"/>
      <c r="D197" s="50"/>
    </row>
    <row r="198" spans="1:4">
      <c r="A198" s="52"/>
      <c r="B198" s="47"/>
      <c r="C198" s="28"/>
      <c r="D198" s="50"/>
    </row>
    <row r="199" spans="1:4">
      <c r="A199" s="52"/>
      <c r="B199" s="47"/>
      <c r="C199" s="28"/>
      <c r="D199" s="50"/>
    </row>
    <row r="200" spans="1:4">
      <c r="A200" s="52"/>
      <c r="B200" s="47"/>
      <c r="C200" s="28"/>
      <c r="D200" s="50"/>
    </row>
    <row r="201" spans="1:4">
      <c r="A201" s="52"/>
      <c r="B201" s="47"/>
      <c r="C201" s="28"/>
      <c r="D201" s="50"/>
    </row>
    <row r="202" spans="1:4">
      <c r="A202" s="52"/>
      <c r="B202" s="47"/>
      <c r="C202" s="28"/>
      <c r="D202" s="50"/>
    </row>
    <row r="203" spans="1:4">
      <c r="A203" s="52"/>
      <c r="B203" s="47"/>
      <c r="C203" s="28"/>
      <c r="D203" s="50"/>
    </row>
    <row r="204" spans="1:4">
      <c r="A204" s="52"/>
      <c r="B204" s="47"/>
      <c r="C204" s="28"/>
      <c r="D204" s="50"/>
    </row>
    <row r="205" spans="1:4">
      <c r="A205" s="52"/>
      <c r="B205" s="47"/>
      <c r="C205" s="28"/>
      <c r="D205" s="50"/>
    </row>
    <row r="206" spans="1:4">
      <c r="A206" s="52"/>
      <c r="B206" s="47"/>
      <c r="C206" s="28"/>
      <c r="D206" s="50"/>
    </row>
    <row r="207" spans="1:4">
      <c r="A207" s="52"/>
      <c r="B207" s="47"/>
      <c r="C207" s="28"/>
      <c r="D207" s="50"/>
    </row>
    <row r="208" spans="1:4">
      <c r="A208" s="52"/>
      <c r="B208" s="47"/>
      <c r="C208" s="28"/>
      <c r="D208" s="50"/>
    </row>
    <row r="209" spans="1:4">
      <c r="A209" s="52"/>
      <c r="B209" s="47"/>
      <c r="C209" s="28"/>
      <c r="D209" s="50"/>
    </row>
    <row r="210" spans="1:4">
      <c r="A210" s="52"/>
      <c r="B210" s="47"/>
      <c r="C210" s="28"/>
      <c r="D210" s="50"/>
    </row>
    <row r="211" spans="1:4">
      <c r="A211" s="52"/>
      <c r="B211" s="47"/>
      <c r="C211" s="28"/>
      <c r="D211" s="50"/>
    </row>
    <row r="212" spans="1:4">
      <c r="A212" s="52"/>
      <c r="B212" s="47"/>
      <c r="C212" s="28"/>
      <c r="D212" s="50"/>
    </row>
    <row r="213" spans="1:4">
      <c r="A213" s="52"/>
      <c r="B213" s="47"/>
      <c r="C213" s="28"/>
      <c r="D213" s="50"/>
    </row>
    <row r="214" spans="1:4">
      <c r="A214" s="52"/>
      <c r="B214" s="47"/>
      <c r="C214" s="28"/>
      <c r="D214" s="50"/>
    </row>
    <row r="215" spans="1:4">
      <c r="A215" s="52"/>
      <c r="B215" s="47"/>
      <c r="C215" s="28"/>
      <c r="D215" s="50"/>
    </row>
    <row r="216" spans="1:4">
      <c r="A216" s="52"/>
      <c r="B216" s="47"/>
      <c r="C216" s="28"/>
      <c r="D216" s="50"/>
    </row>
    <row r="217" spans="1:4">
      <c r="A217" s="52"/>
      <c r="B217" s="47"/>
      <c r="C217" s="28"/>
      <c r="D217" s="50"/>
    </row>
    <row r="218" spans="1:4">
      <c r="A218" s="52"/>
      <c r="B218" s="47"/>
      <c r="C218" s="28"/>
      <c r="D218" s="50"/>
    </row>
    <row r="219" spans="1:4">
      <c r="A219" s="52"/>
      <c r="B219" s="47"/>
      <c r="C219" s="28"/>
      <c r="D219" s="50"/>
    </row>
    <row r="220" spans="1:4">
      <c r="A220" s="52"/>
      <c r="B220" s="47"/>
      <c r="C220" s="28"/>
      <c r="D220" s="50"/>
    </row>
    <row r="221" spans="1:4">
      <c r="A221" s="52"/>
      <c r="B221" s="47"/>
      <c r="C221" s="28"/>
      <c r="D221" s="50"/>
    </row>
    <row r="222" spans="1:4">
      <c r="A222" s="52"/>
      <c r="B222" s="47"/>
      <c r="C222" s="28"/>
      <c r="D222" s="50"/>
    </row>
    <row r="223" spans="1:4">
      <c r="A223" s="52"/>
      <c r="B223" s="47"/>
      <c r="C223" s="28"/>
      <c r="D223" s="50"/>
    </row>
    <row r="224" spans="1:4">
      <c r="A224" s="52"/>
      <c r="B224" s="47"/>
      <c r="C224" s="28"/>
      <c r="D224" s="50"/>
    </row>
    <row r="225" spans="1:4">
      <c r="A225" s="52"/>
      <c r="B225" s="47"/>
      <c r="C225" s="28"/>
      <c r="D225" s="50"/>
    </row>
    <row r="226" spans="1:4">
      <c r="A226" s="52"/>
      <c r="B226" s="47"/>
      <c r="C226" s="28"/>
      <c r="D226" s="50"/>
    </row>
    <row r="227" spans="1:4">
      <c r="A227" s="52"/>
      <c r="B227" s="47"/>
      <c r="C227" s="28"/>
      <c r="D227" s="50"/>
    </row>
    <row r="228" spans="1:4">
      <c r="A228" s="52"/>
      <c r="B228" s="47"/>
      <c r="C228" s="28"/>
      <c r="D228" s="50"/>
    </row>
    <row r="229" spans="1:4">
      <c r="A229" s="52"/>
      <c r="B229" s="47"/>
      <c r="C229" s="28"/>
      <c r="D229" s="50"/>
    </row>
    <row r="230" spans="1:4">
      <c r="A230" s="52"/>
      <c r="B230" s="47"/>
      <c r="C230" s="28"/>
      <c r="D230" s="50"/>
    </row>
    <row r="231" spans="1:4">
      <c r="A231" s="52"/>
      <c r="B231" s="47"/>
      <c r="C231" s="28"/>
      <c r="D231" s="50"/>
    </row>
    <row r="232" spans="1:4">
      <c r="A232" s="52"/>
      <c r="B232" s="47"/>
      <c r="C232" s="28"/>
      <c r="D232" s="50"/>
    </row>
    <row r="233" spans="1:4">
      <c r="A233" s="52"/>
      <c r="B233" s="47"/>
      <c r="C233" s="28"/>
      <c r="D233" s="50"/>
    </row>
    <row r="234" spans="1:4">
      <c r="A234" s="52"/>
      <c r="B234" s="47"/>
      <c r="C234" s="28"/>
      <c r="D234" s="50"/>
    </row>
    <row r="235" spans="1:4">
      <c r="A235" s="52"/>
      <c r="B235" s="47"/>
      <c r="C235" s="28"/>
      <c r="D235" s="50"/>
    </row>
    <row r="236" spans="1:4">
      <c r="A236" s="52"/>
      <c r="B236" s="47"/>
      <c r="C236" s="28"/>
      <c r="D236" s="50"/>
    </row>
    <row r="237" spans="1:4">
      <c r="A237" s="52"/>
      <c r="B237" s="47"/>
      <c r="C237" s="28"/>
      <c r="D237" s="50"/>
    </row>
    <row r="238" spans="1:4">
      <c r="A238" s="52"/>
      <c r="B238" s="47"/>
      <c r="C238" s="28"/>
      <c r="D238" s="50"/>
    </row>
    <row r="239" spans="1:4">
      <c r="A239" s="52"/>
      <c r="B239" s="47"/>
      <c r="C239" s="28"/>
      <c r="D239" s="50"/>
    </row>
    <row r="240" spans="1:4">
      <c r="A240" s="52"/>
      <c r="B240" s="47"/>
      <c r="C240" s="28"/>
      <c r="D240" s="50"/>
    </row>
    <row r="241" spans="1:4">
      <c r="A241" s="52"/>
      <c r="B241" s="47"/>
      <c r="C241" s="28"/>
      <c r="D241" s="50"/>
    </row>
    <row r="242" spans="1:4">
      <c r="A242" s="52"/>
      <c r="B242" s="47"/>
      <c r="C242" s="28"/>
      <c r="D242" s="50"/>
    </row>
    <row r="243" spans="1:4">
      <c r="A243" s="52"/>
      <c r="B243" s="47"/>
      <c r="C243" s="28"/>
      <c r="D243" s="50"/>
    </row>
    <row r="244" spans="1:4">
      <c r="A244" s="52"/>
      <c r="B244" s="47"/>
      <c r="C244" s="28"/>
      <c r="D244" s="50"/>
    </row>
    <row r="245" spans="1:4">
      <c r="A245" s="52"/>
      <c r="B245" s="47"/>
      <c r="C245" s="28"/>
      <c r="D245" s="50"/>
    </row>
    <row r="246" spans="1:4">
      <c r="A246" s="52"/>
      <c r="B246" s="47"/>
      <c r="C246" s="28"/>
      <c r="D246" s="50"/>
    </row>
    <row r="247" spans="1:4">
      <c r="A247" s="52"/>
      <c r="B247" s="47"/>
      <c r="C247" s="28"/>
      <c r="D247" s="50"/>
    </row>
    <row r="248" spans="1:4">
      <c r="A248" s="52"/>
      <c r="B248" s="47"/>
      <c r="C248" s="28"/>
      <c r="D248" s="50"/>
    </row>
    <row r="249" spans="1:4">
      <c r="A249" s="52"/>
      <c r="B249" s="47"/>
      <c r="C249" s="28"/>
      <c r="D249" s="50"/>
    </row>
    <row r="250" spans="1:4">
      <c r="A250" s="52"/>
      <c r="B250" s="47"/>
      <c r="C250" s="28"/>
      <c r="D250" s="50"/>
    </row>
    <row r="251" spans="1:4">
      <c r="A251" s="52"/>
      <c r="B251" s="47"/>
      <c r="C251" s="28"/>
      <c r="D251" s="50"/>
    </row>
    <row r="252" spans="1:4">
      <c r="A252" s="52"/>
      <c r="B252" s="47"/>
      <c r="C252" s="28"/>
      <c r="D252" s="50"/>
    </row>
    <row r="253" spans="1:4">
      <c r="A253" s="52"/>
      <c r="B253" s="47"/>
      <c r="C253" s="28"/>
      <c r="D253" s="50"/>
    </row>
    <row r="254" spans="1:4">
      <c r="A254" s="52"/>
      <c r="B254" s="47"/>
      <c r="C254" s="28"/>
      <c r="D254" s="50"/>
    </row>
    <row r="255" spans="1:4">
      <c r="A255" s="52"/>
      <c r="B255" s="47"/>
      <c r="C255" s="28"/>
      <c r="D255" s="50"/>
    </row>
    <row r="256" spans="1:4">
      <c r="A256" s="52"/>
      <c r="B256" s="47"/>
      <c r="C256" s="28"/>
      <c r="D256" s="50"/>
    </row>
    <row r="257" spans="1:4">
      <c r="A257" s="52"/>
      <c r="B257" s="47"/>
      <c r="C257" s="28"/>
      <c r="D257" s="50"/>
    </row>
    <row r="258" spans="1:4">
      <c r="A258" s="52"/>
      <c r="B258" s="47"/>
      <c r="C258" s="28"/>
      <c r="D258" s="50"/>
    </row>
    <row r="259" spans="1:4">
      <c r="A259" s="52"/>
      <c r="B259" s="47"/>
      <c r="C259" s="28"/>
      <c r="D259" s="50"/>
    </row>
    <row r="260" spans="1:4">
      <c r="A260" s="52"/>
      <c r="B260" s="47"/>
      <c r="C260" s="28"/>
      <c r="D260" s="50"/>
    </row>
    <row r="261" spans="1:4">
      <c r="A261" s="52"/>
      <c r="B261" s="47"/>
      <c r="C261" s="28"/>
      <c r="D261" s="50"/>
    </row>
    <row r="262" spans="1:4">
      <c r="A262" s="52"/>
      <c r="B262" s="47"/>
      <c r="C262" s="28"/>
      <c r="D262" s="50"/>
    </row>
    <row r="263" spans="1:4">
      <c r="A263" s="52"/>
      <c r="B263" s="47"/>
      <c r="C263" s="28"/>
      <c r="D263" s="50"/>
    </row>
    <row r="264" spans="1:4">
      <c r="A264" s="52"/>
      <c r="B264" s="47"/>
      <c r="C264" s="28"/>
      <c r="D264" s="50"/>
    </row>
    <row r="265" spans="1:4">
      <c r="A265" s="52"/>
      <c r="B265" s="47"/>
      <c r="C265" s="28"/>
      <c r="D265" s="50"/>
    </row>
    <row r="266" spans="1:4">
      <c r="A266" s="52"/>
      <c r="B266" s="47"/>
      <c r="C266" s="28"/>
      <c r="D266" s="50"/>
    </row>
    <row r="267" spans="1:4">
      <c r="A267" s="52"/>
      <c r="B267" s="47"/>
      <c r="C267" s="28"/>
      <c r="D267" s="50"/>
    </row>
    <row r="268" spans="1:4">
      <c r="A268" s="52"/>
      <c r="B268" s="47"/>
      <c r="C268" s="28"/>
      <c r="D268" s="50"/>
    </row>
    <row r="269" spans="1:4">
      <c r="A269" s="52"/>
      <c r="B269" s="47"/>
      <c r="C269" s="28"/>
      <c r="D269" s="50"/>
    </row>
    <row r="270" spans="1:4">
      <c r="A270" s="52"/>
      <c r="B270" s="47"/>
      <c r="C270" s="28"/>
      <c r="D270" s="50"/>
    </row>
    <row r="271" spans="1:4">
      <c r="A271" s="52"/>
      <c r="B271" s="47"/>
      <c r="C271" s="28"/>
      <c r="D271" s="50"/>
    </row>
    <row r="272" spans="1:4">
      <c r="A272" s="52"/>
      <c r="B272" s="47"/>
      <c r="C272" s="28"/>
      <c r="D272" s="50"/>
    </row>
    <row r="273" spans="1:4">
      <c r="A273" s="52"/>
      <c r="B273" s="47"/>
      <c r="C273" s="28"/>
      <c r="D273" s="50"/>
    </row>
    <row r="274" spans="1:4">
      <c r="A274" s="52"/>
      <c r="B274" s="47"/>
      <c r="C274" s="28"/>
      <c r="D274" s="50"/>
    </row>
    <row r="275" spans="1:4">
      <c r="A275" s="52"/>
      <c r="B275" s="47"/>
      <c r="C275" s="28"/>
      <c r="D275" s="50"/>
    </row>
    <row r="276" spans="1:4">
      <c r="A276" s="52"/>
      <c r="B276" s="47"/>
      <c r="C276" s="28"/>
      <c r="D276" s="50"/>
    </row>
    <row r="277" spans="1:4">
      <c r="A277" s="52"/>
      <c r="B277" s="47"/>
      <c r="C277" s="28"/>
      <c r="D277" s="50"/>
    </row>
    <row r="278" spans="1:4">
      <c r="A278" s="52"/>
      <c r="B278" s="47"/>
      <c r="C278" s="28"/>
      <c r="D278" s="50"/>
    </row>
    <row r="279" spans="1:4">
      <c r="A279" s="52"/>
      <c r="B279" s="47"/>
      <c r="C279" s="28"/>
      <c r="D279" s="50"/>
    </row>
    <row r="280" spans="1:4">
      <c r="A280" s="52"/>
      <c r="B280" s="47"/>
      <c r="C280" s="28"/>
      <c r="D280" s="50"/>
    </row>
    <row r="281" spans="1:4">
      <c r="A281" s="52"/>
      <c r="B281" s="47"/>
      <c r="C281" s="28"/>
      <c r="D281" s="50"/>
    </row>
    <row r="282" spans="1:4">
      <c r="A282" s="52"/>
      <c r="B282" s="47"/>
      <c r="C282" s="28"/>
      <c r="D282" s="50"/>
    </row>
    <row r="283" spans="1:4">
      <c r="A283" s="52"/>
      <c r="B283" s="47"/>
      <c r="C283" s="28"/>
      <c r="D283" s="50"/>
    </row>
    <row r="284" spans="1:4">
      <c r="A284" s="52"/>
      <c r="B284" s="47"/>
      <c r="C284" s="28"/>
      <c r="D284" s="50"/>
    </row>
    <row r="285" spans="1:4">
      <c r="A285" s="52"/>
      <c r="B285" s="47"/>
      <c r="C285" s="28"/>
      <c r="D285" s="50"/>
    </row>
    <row r="286" spans="1:4">
      <c r="A286" s="52"/>
      <c r="B286" s="47"/>
      <c r="C286" s="28"/>
      <c r="D286" s="50"/>
    </row>
    <row r="287" spans="1:4">
      <c r="A287" s="52"/>
      <c r="B287" s="47"/>
      <c r="C287" s="28"/>
      <c r="D287" s="50"/>
    </row>
    <row r="288" spans="1:4">
      <c r="A288" s="52"/>
      <c r="B288" s="47"/>
      <c r="C288" s="28"/>
      <c r="D288" s="50"/>
    </row>
    <row r="289" spans="1:4">
      <c r="A289" s="52"/>
      <c r="B289" s="47"/>
      <c r="C289" s="28"/>
      <c r="D289" s="50"/>
    </row>
    <row r="290" spans="1:4">
      <c r="A290" s="52"/>
      <c r="B290" s="47"/>
      <c r="C290" s="28"/>
      <c r="D290" s="50"/>
    </row>
    <row r="291" spans="1:4">
      <c r="A291" s="52"/>
      <c r="B291" s="47"/>
      <c r="C291" s="28"/>
      <c r="D291" s="50"/>
    </row>
    <row r="292" spans="1:4">
      <c r="A292" s="52"/>
      <c r="B292" s="47"/>
      <c r="C292" s="28"/>
      <c r="D292" s="50"/>
    </row>
    <row r="293" spans="1:4">
      <c r="A293" s="52"/>
      <c r="B293" s="47"/>
      <c r="C293" s="28"/>
      <c r="D293" s="50"/>
    </row>
    <row r="294" spans="1:4">
      <c r="A294" s="52"/>
      <c r="B294" s="47"/>
      <c r="C294" s="28"/>
      <c r="D294" s="50"/>
    </row>
    <row r="295" spans="1:4">
      <c r="A295" s="52"/>
      <c r="B295" s="47"/>
      <c r="C295" s="28"/>
      <c r="D295" s="50"/>
    </row>
    <row r="296" spans="1:4">
      <c r="A296" s="52"/>
      <c r="B296" s="47"/>
      <c r="C296" s="28"/>
      <c r="D296" s="50"/>
    </row>
    <row r="297" spans="1:4">
      <c r="A297" s="52"/>
      <c r="B297" s="47"/>
      <c r="C297" s="28"/>
      <c r="D297" s="50"/>
    </row>
    <row r="298" spans="1:4">
      <c r="A298" s="52"/>
      <c r="B298" s="47"/>
      <c r="C298" s="28"/>
      <c r="D298" s="50"/>
    </row>
    <row r="299" spans="1:4">
      <c r="A299" s="52"/>
      <c r="B299" s="47"/>
      <c r="C299" s="28"/>
      <c r="D299" s="50"/>
    </row>
    <row r="300" spans="1:4">
      <c r="A300" s="52"/>
      <c r="B300" s="47"/>
      <c r="C300" s="28"/>
      <c r="D300" s="50"/>
    </row>
    <row r="301" spans="1:4">
      <c r="A301" s="52"/>
      <c r="B301" s="47"/>
      <c r="C301" s="28"/>
      <c r="D301" s="50"/>
    </row>
    <row r="302" spans="1:4">
      <c r="A302" s="52"/>
      <c r="B302" s="47"/>
      <c r="C302" s="28"/>
      <c r="D302" s="50"/>
    </row>
    <row r="303" spans="1:4">
      <c r="A303" s="52"/>
      <c r="B303" s="47"/>
      <c r="C303" s="28"/>
      <c r="D303" s="50"/>
    </row>
    <row r="304" spans="1:4">
      <c r="A304" s="52"/>
      <c r="B304" s="47"/>
      <c r="C304" s="28"/>
      <c r="D304" s="50"/>
    </row>
    <row r="305" spans="1:4">
      <c r="A305" s="52"/>
      <c r="B305" s="47"/>
      <c r="C305" s="28"/>
      <c r="D305" s="50"/>
    </row>
    <row r="306" spans="1:4">
      <c r="A306" s="52"/>
      <c r="B306" s="47"/>
      <c r="C306" s="28"/>
      <c r="D306" s="50"/>
    </row>
    <row r="307" spans="1:4">
      <c r="A307" s="52"/>
      <c r="B307" s="47"/>
      <c r="C307" s="28"/>
      <c r="D307" s="50"/>
    </row>
    <row r="308" spans="1:4">
      <c r="A308" s="52"/>
      <c r="B308" s="47"/>
      <c r="C308" s="28"/>
      <c r="D308" s="50"/>
    </row>
    <row r="309" spans="1:4">
      <c r="A309" s="52"/>
      <c r="B309" s="47"/>
      <c r="C309" s="28"/>
      <c r="D309" s="50"/>
    </row>
    <row r="310" spans="1:4">
      <c r="A310" s="52"/>
      <c r="B310" s="47"/>
      <c r="C310" s="28"/>
      <c r="D310" s="50"/>
    </row>
    <row r="311" spans="1:4">
      <c r="A311" s="52"/>
      <c r="B311" s="47"/>
      <c r="C311" s="28"/>
      <c r="D311" s="50"/>
    </row>
    <row r="312" spans="1:4">
      <c r="A312" s="52"/>
      <c r="B312" s="47"/>
      <c r="C312" s="28"/>
      <c r="D312" s="50"/>
    </row>
    <row r="313" spans="1:4">
      <c r="A313" s="52"/>
      <c r="B313" s="47"/>
      <c r="C313" s="28"/>
      <c r="D313" s="50"/>
    </row>
    <row r="314" spans="1:4">
      <c r="A314" s="52"/>
      <c r="B314" s="47"/>
      <c r="C314" s="28"/>
      <c r="D314" s="50"/>
    </row>
    <row r="315" spans="1:4">
      <c r="A315" s="52"/>
      <c r="B315" s="47"/>
      <c r="C315" s="28"/>
      <c r="D315" s="50"/>
    </row>
    <row r="316" spans="1:4">
      <c r="A316" s="52"/>
      <c r="B316" s="47"/>
      <c r="C316" s="28"/>
      <c r="D316" s="50"/>
    </row>
    <row r="317" spans="1:4">
      <c r="A317" s="52"/>
      <c r="B317" s="47"/>
      <c r="C317" s="28"/>
      <c r="D317" s="50"/>
    </row>
    <row r="318" spans="1:4">
      <c r="A318" s="52"/>
      <c r="B318" s="47"/>
      <c r="C318" s="28"/>
      <c r="D318" s="50"/>
    </row>
    <row r="319" spans="1:4">
      <c r="A319" s="52"/>
      <c r="B319" s="47"/>
      <c r="C319" s="28"/>
      <c r="D319" s="50"/>
    </row>
    <row r="320" spans="1:4">
      <c r="A320" s="52"/>
      <c r="B320" s="47"/>
      <c r="C320" s="28"/>
      <c r="D320" s="50"/>
    </row>
    <row r="321" spans="1:4">
      <c r="A321" s="52"/>
      <c r="B321" s="47"/>
      <c r="C321" s="28"/>
      <c r="D321" s="50"/>
    </row>
    <row r="322" spans="1:4">
      <c r="A322" s="52"/>
      <c r="B322" s="47"/>
      <c r="C322" s="28"/>
      <c r="D322" s="50"/>
    </row>
    <row r="323" spans="1:4">
      <c r="A323" s="52"/>
      <c r="B323" s="47"/>
      <c r="C323" s="28"/>
      <c r="D323" s="50"/>
    </row>
    <row r="324" spans="1:4">
      <c r="A324" s="52"/>
      <c r="B324" s="47"/>
      <c r="C324" s="28"/>
      <c r="D324" s="50"/>
    </row>
    <row r="325" spans="1:4">
      <c r="A325" s="52"/>
      <c r="B325" s="47"/>
      <c r="C325" s="28"/>
      <c r="D325" s="50"/>
    </row>
    <row r="326" spans="1:4">
      <c r="A326" s="52"/>
      <c r="B326" s="47"/>
      <c r="C326" s="28"/>
      <c r="D326" s="50"/>
    </row>
    <row r="327" spans="1:4">
      <c r="A327" s="52"/>
      <c r="B327" s="47"/>
      <c r="C327" s="28"/>
      <c r="D327" s="50"/>
    </row>
    <row r="328" spans="1:4">
      <c r="A328" s="52"/>
      <c r="B328" s="47"/>
      <c r="C328" s="28"/>
      <c r="D328" s="50"/>
    </row>
    <row r="329" spans="1:4">
      <c r="A329" s="52"/>
      <c r="B329" s="47"/>
      <c r="C329" s="28"/>
      <c r="D329" s="50"/>
    </row>
    <row r="330" spans="1:4">
      <c r="A330" s="52"/>
      <c r="B330" s="47"/>
      <c r="C330" s="28"/>
      <c r="D330" s="50"/>
    </row>
    <row r="331" spans="1:4">
      <c r="A331" s="52"/>
      <c r="B331" s="47"/>
      <c r="C331" s="28"/>
      <c r="D331" s="50"/>
    </row>
    <row r="332" spans="1:4">
      <c r="A332" s="52"/>
      <c r="B332" s="47"/>
      <c r="C332" s="28"/>
      <c r="D332" s="50"/>
    </row>
    <row r="333" spans="1:4">
      <c r="A333" s="52"/>
      <c r="B333" s="47"/>
      <c r="C333" s="28"/>
      <c r="D333" s="50"/>
    </row>
    <row r="334" spans="1:4">
      <c r="A334" s="52"/>
      <c r="B334" s="47"/>
      <c r="C334" s="28"/>
      <c r="D334" s="50"/>
    </row>
    <row r="335" spans="1:4">
      <c r="A335" s="52"/>
      <c r="B335" s="47"/>
      <c r="C335" s="28"/>
      <c r="D335" s="50"/>
    </row>
    <row r="336" spans="1:4">
      <c r="A336" s="52"/>
      <c r="B336" s="47"/>
      <c r="C336" s="28"/>
      <c r="D336" s="50"/>
    </row>
    <row r="337" spans="1:4">
      <c r="A337" s="52"/>
      <c r="B337" s="47"/>
      <c r="C337" s="28"/>
      <c r="D337" s="50"/>
    </row>
    <row r="338" spans="1:4">
      <c r="A338" s="52"/>
      <c r="B338" s="47"/>
      <c r="C338" s="28"/>
      <c r="D338" s="50"/>
    </row>
    <row r="339" spans="1:4">
      <c r="A339" s="52"/>
      <c r="B339" s="47"/>
      <c r="C339" s="28"/>
      <c r="D339" s="50"/>
    </row>
    <row r="340" spans="1:4">
      <c r="A340" s="52"/>
      <c r="B340" s="47"/>
      <c r="C340" s="28"/>
      <c r="D340" s="50"/>
    </row>
    <row r="341" spans="1:4">
      <c r="A341" s="52"/>
      <c r="B341" s="47"/>
      <c r="C341" s="28"/>
      <c r="D341" s="50"/>
    </row>
    <row r="342" spans="1:4">
      <c r="A342" s="52"/>
      <c r="B342" s="47"/>
      <c r="C342" s="28"/>
      <c r="D342" s="50"/>
    </row>
    <row r="343" spans="1:4">
      <c r="A343" s="52"/>
      <c r="B343" s="47"/>
      <c r="C343" s="28"/>
      <c r="D343" s="50"/>
    </row>
    <row r="344" spans="1:4">
      <c r="A344" s="52"/>
      <c r="B344" s="47"/>
      <c r="C344" s="28"/>
      <c r="D344" s="50"/>
    </row>
    <row r="345" spans="1:4">
      <c r="A345" s="52"/>
      <c r="B345" s="47"/>
      <c r="C345" s="28"/>
      <c r="D345" s="50"/>
    </row>
    <row r="346" spans="1:4">
      <c r="A346" s="52"/>
      <c r="B346" s="47"/>
      <c r="C346" s="28"/>
      <c r="D346" s="50"/>
    </row>
    <row r="347" spans="1:4">
      <c r="A347" s="52"/>
      <c r="B347" s="47"/>
      <c r="C347" s="28"/>
      <c r="D347" s="50"/>
    </row>
    <row r="348" spans="1:4">
      <c r="A348" s="52"/>
      <c r="B348" s="47"/>
      <c r="C348" s="28"/>
      <c r="D348" s="50"/>
    </row>
    <row r="349" spans="1:4">
      <c r="A349" s="52"/>
      <c r="B349" s="47"/>
      <c r="C349" s="28"/>
      <c r="D349" s="50"/>
    </row>
    <row r="350" spans="1:4">
      <c r="A350" s="52"/>
      <c r="B350" s="47"/>
      <c r="C350" s="28"/>
      <c r="D350" s="50"/>
    </row>
    <row r="351" spans="1:4">
      <c r="A351" s="52"/>
      <c r="B351" s="47"/>
      <c r="C351" s="28"/>
      <c r="D351" s="50"/>
    </row>
    <row r="352" spans="1:4">
      <c r="A352" s="52"/>
      <c r="B352" s="47"/>
      <c r="C352" s="28"/>
      <c r="D352" s="50"/>
    </row>
    <row r="353" spans="1:4">
      <c r="A353" s="52"/>
      <c r="B353" s="47"/>
      <c r="C353" s="28"/>
      <c r="D353" s="50"/>
    </row>
    <row r="354" spans="1:4">
      <c r="A354" s="52"/>
      <c r="B354" s="47"/>
      <c r="C354" s="28"/>
      <c r="D354" s="50"/>
    </row>
    <row r="355" spans="1:4">
      <c r="A355" s="52"/>
      <c r="B355" s="47"/>
      <c r="C355" s="28"/>
      <c r="D355" s="50"/>
    </row>
    <row r="356" spans="1:4">
      <c r="A356" s="52"/>
      <c r="B356" s="47"/>
      <c r="C356" s="28"/>
      <c r="D356" s="50"/>
    </row>
    <row r="357" spans="1:4">
      <c r="A357" s="52"/>
      <c r="B357" s="47"/>
      <c r="C357" s="28"/>
      <c r="D357" s="50"/>
    </row>
    <row r="358" spans="1:4">
      <c r="A358" s="52"/>
      <c r="B358" s="47"/>
      <c r="C358" s="28"/>
      <c r="D358" s="50"/>
    </row>
    <row r="359" spans="1:4">
      <c r="A359" s="52"/>
      <c r="B359" s="47"/>
      <c r="C359" s="28"/>
      <c r="D359" s="50"/>
    </row>
    <row r="360" spans="1:4">
      <c r="A360" s="52"/>
      <c r="B360" s="47"/>
      <c r="C360" s="28"/>
      <c r="D360" s="50"/>
    </row>
    <row r="361" spans="1:4">
      <c r="A361" s="52"/>
      <c r="B361" s="47"/>
      <c r="C361" s="28"/>
      <c r="D361" s="50"/>
    </row>
    <row r="362" spans="1:4">
      <c r="A362" s="52"/>
      <c r="B362" s="47"/>
      <c r="C362" s="28"/>
      <c r="D362" s="50"/>
    </row>
    <row r="363" spans="1:4">
      <c r="A363" s="52"/>
      <c r="B363" s="47"/>
      <c r="C363" s="28"/>
      <c r="D363" s="50"/>
    </row>
    <row r="364" spans="1:4">
      <c r="A364" s="52"/>
      <c r="B364" s="47"/>
      <c r="C364" s="28"/>
      <c r="D364" s="50"/>
    </row>
    <row r="365" spans="1:4">
      <c r="A365" s="52"/>
      <c r="B365" s="47"/>
      <c r="C365" s="28"/>
      <c r="D365" s="50"/>
    </row>
    <row r="366" spans="1:4">
      <c r="A366" s="52"/>
      <c r="B366" s="47"/>
      <c r="C366" s="28"/>
      <c r="D366" s="50"/>
    </row>
    <row r="367" spans="1:4">
      <c r="A367" s="52"/>
      <c r="B367" s="47"/>
      <c r="C367" s="28"/>
      <c r="D367" s="50"/>
    </row>
    <row r="368" spans="1:4">
      <c r="A368" s="52"/>
      <c r="B368" s="47"/>
      <c r="C368" s="28"/>
      <c r="D368" s="50"/>
    </row>
    <row r="369" spans="1:4">
      <c r="A369" s="52"/>
      <c r="B369" s="47"/>
      <c r="C369" s="28"/>
      <c r="D369" s="50"/>
    </row>
    <row r="370" spans="1:4">
      <c r="A370" s="52"/>
      <c r="B370" s="47"/>
      <c r="C370" s="28"/>
      <c r="D370" s="50"/>
    </row>
    <row r="371" spans="1:4">
      <c r="A371" s="52"/>
      <c r="B371" s="47"/>
      <c r="C371" s="28"/>
      <c r="D371" s="50"/>
    </row>
    <row r="372" spans="1:4">
      <c r="A372" s="52"/>
      <c r="B372" s="47"/>
      <c r="C372" s="28"/>
      <c r="D372" s="50"/>
    </row>
    <row r="373" spans="1:4">
      <c r="A373" s="52"/>
      <c r="B373" s="47"/>
      <c r="C373" s="28"/>
      <c r="D373" s="50"/>
    </row>
    <row r="374" spans="1:4">
      <c r="A374" s="52"/>
      <c r="B374" s="47"/>
      <c r="C374" s="28"/>
      <c r="D374" s="50"/>
    </row>
    <row r="375" spans="1:4">
      <c r="A375" s="52"/>
      <c r="B375" s="47"/>
      <c r="C375" s="28"/>
      <c r="D375" s="50"/>
    </row>
    <row r="376" spans="1:4">
      <c r="A376" s="52"/>
      <c r="B376" s="47"/>
      <c r="C376" s="28"/>
      <c r="D376" s="50"/>
    </row>
    <row r="377" spans="1:4">
      <c r="A377" s="52"/>
      <c r="B377" s="47"/>
      <c r="C377" s="28"/>
      <c r="D377" s="50"/>
    </row>
    <row r="378" spans="1:4">
      <c r="A378" s="52"/>
      <c r="B378" s="47"/>
      <c r="C378" s="28"/>
      <c r="D378" s="50"/>
    </row>
    <row r="379" spans="1:4">
      <c r="A379" s="52"/>
      <c r="B379" s="47"/>
      <c r="C379" s="28"/>
      <c r="D379" s="50"/>
    </row>
    <row r="380" spans="1:4">
      <c r="A380" s="52"/>
      <c r="B380" s="47"/>
      <c r="C380" s="28"/>
      <c r="D380" s="50"/>
    </row>
    <row r="381" spans="1:4">
      <c r="A381" s="52"/>
      <c r="B381" s="47"/>
      <c r="C381" s="28"/>
      <c r="D381" s="50"/>
    </row>
    <row r="382" spans="1:4">
      <c r="A382" s="52"/>
      <c r="B382" s="47"/>
      <c r="C382" s="28"/>
      <c r="D382" s="50"/>
    </row>
    <row r="383" spans="1:4">
      <c r="A383" s="52"/>
      <c r="B383" s="47"/>
      <c r="C383" s="28"/>
      <c r="D383" s="50"/>
    </row>
    <row r="384" spans="1:4">
      <c r="A384" s="52"/>
      <c r="B384" s="47"/>
      <c r="C384" s="28"/>
      <c r="D384" s="50"/>
    </row>
    <row r="385" spans="1:4">
      <c r="A385" s="52"/>
      <c r="B385" s="47"/>
      <c r="C385" s="28"/>
      <c r="D385" s="50"/>
    </row>
    <row r="386" spans="1:4">
      <c r="A386" s="52"/>
      <c r="B386" s="47"/>
      <c r="C386" s="28"/>
      <c r="D386" s="50"/>
    </row>
    <row r="387" spans="1:4">
      <c r="A387" s="52"/>
      <c r="B387" s="47"/>
      <c r="C387" s="28"/>
      <c r="D387" s="50"/>
    </row>
    <row r="388" spans="1:4">
      <c r="A388" s="52"/>
      <c r="B388" s="47"/>
      <c r="C388" s="28"/>
      <c r="D388" s="50"/>
    </row>
    <row r="389" spans="1:4">
      <c r="A389" s="52"/>
      <c r="B389" s="47"/>
      <c r="C389" s="28"/>
      <c r="D389" s="50"/>
    </row>
    <row r="390" spans="1:4">
      <c r="A390" s="52"/>
      <c r="B390" s="47"/>
      <c r="C390" s="28"/>
      <c r="D390" s="50"/>
    </row>
    <row r="391" spans="1:4">
      <c r="A391" s="52"/>
      <c r="B391" s="47"/>
      <c r="C391" s="28"/>
      <c r="D391" s="50"/>
    </row>
    <row r="392" spans="1:4">
      <c r="A392" s="52"/>
      <c r="B392" s="47"/>
      <c r="C392" s="28"/>
      <c r="D392" s="50"/>
    </row>
    <row r="393" spans="1:4">
      <c r="A393" s="52"/>
      <c r="B393" s="47"/>
      <c r="C393" s="28"/>
      <c r="D393" s="50"/>
    </row>
    <row r="394" spans="1:4">
      <c r="A394" s="52"/>
      <c r="B394" s="47"/>
      <c r="C394" s="28"/>
      <c r="D394" s="50"/>
    </row>
    <row r="395" spans="1:4">
      <c r="A395" s="52"/>
      <c r="B395" s="47"/>
      <c r="C395" s="28"/>
      <c r="D395" s="50"/>
    </row>
    <row r="396" spans="1:4">
      <c r="A396" s="52"/>
      <c r="B396" s="47"/>
      <c r="C396" s="28"/>
      <c r="D396" s="50"/>
    </row>
    <row r="397" spans="1:4">
      <c r="A397" s="52"/>
      <c r="B397" s="47"/>
      <c r="C397" s="28"/>
      <c r="D397" s="50"/>
    </row>
    <row r="398" spans="1:4">
      <c r="A398" s="52"/>
      <c r="B398" s="47"/>
      <c r="C398" s="28"/>
      <c r="D398" s="50"/>
    </row>
    <row r="399" spans="1:4">
      <c r="A399" s="52"/>
      <c r="B399" s="47"/>
      <c r="C399" s="28"/>
      <c r="D399" s="50"/>
    </row>
    <row r="400" spans="1:4">
      <c r="A400" s="52"/>
      <c r="B400" s="47"/>
      <c r="C400" s="28"/>
      <c r="D400" s="50"/>
    </row>
    <row r="401" spans="1:4">
      <c r="A401" s="52"/>
      <c r="B401" s="47"/>
      <c r="C401" s="28"/>
      <c r="D401" s="50"/>
    </row>
    <row r="402" spans="1:4">
      <c r="A402" s="52"/>
      <c r="B402" s="47"/>
      <c r="C402" s="28"/>
      <c r="D402" s="50"/>
    </row>
    <row r="403" spans="1:4">
      <c r="A403" s="52"/>
      <c r="B403" s="47"/>
      <c r="C403" s="28"/>
      <c r="D403" s="50"/>
    </row>
    <row r="404" spans="1:4">
      <c r="A404" s="52"/>
      <c r="B404" s="47"/>
      <c r="C404" s="28"/>
      <c r="D404" s="50"/>
    </row>
    <row r="405" spans="1:4">
      <c r="A405" s="52"/>
      <c r="B405" s="47"/>
      <c r="C405" s="28"/>
      <c r="D405" s="50"/>
    </row>
    <row r="406" spans="1:4">
      <c r="A406" s="52"/>
      <c r="B406" s="47"/>
      <c r="C406" s="28"/>
      <c r="D406" s="50"/>
    </row>
    <row r="407" spans="1:4">
      <c r="A407" s="52"/>
      <c r="B407" s="47"/>
      <c r="C407" s="28"/>
      <c r="D407" s="50"/>
    </row>
    <row r="408" spans="1:4">
      <c r="A408" s="52"/>
      <c r="B408" s="47"/>
      <c r="C408" s="28"/>
      <c r="D408" s="50"/>
    </row>
    <row r="409" spans="1:4">
      <c r="A409" s="52"/>
      <c r="B409" s="47"/>
      <c r="C409" s="28"/>
      <c r="D409" s="50"/>
    </row>
    <row r="410" spans="1:4">
      <c r="A410" s="52"/>
      <c r="B410" s="47"/>
      <c r="C410" s="28"/>
      <c r="D410" s="50"/>
    </row>
    <row r="411" spans="1:4">
      <c r="A411" s="52"/>
      <c r="B411" s="47"/>
      <c r="C411" s="28"/>
      <c r="D411" s="50"/>
    </row>
    <row r="412" spans="1:4">
      <c r="A412" s="52"/>
      <c r="B412" s="47"/>
      <c r="C412" s="28"/>
      <c r="D412" s="50"/>
    </row>
    <row r="413" spans="1:4">
      <c r="A413" s="52"/>
      <c r="B413" s="47"/>
      <c r="C413" s="28"/>
      <c r="D413" s="50"/>
    </row>
    <row r="414" spans="1:4">
      <c r="A414" s="52"/>
      <c r="B414" s="47"/>
      <c r="C414" s="28"/>
      <c r="D414" s="50"/>
    </row>
    <row r="415" spans="1:4">
      <c r="A415" s="52"/>
      <c r="B415" s="47"/>
      <c r="C415" s="28"/>
      <c r="D415" s="50"/>
    </row>
    <row r="416" spans="1:4">
      <c r="A416" s="52"/>
      <c r="B416" s="47"/>
      <c r="C416" s="28"/>
      <c r="D416" s="50"/>
    </row>
    <row r="417" spans="1:4">
      <c r="A417" s="52"/>
      <c r="B417" s="47"/>
      <c r="C417" s="28"/>
      <c r="D417" s="50"/>
    </row>
    <row r="418" spans="1:4">
      <c r="A418" s="52"/>
      <c r="B418" s="47"/>
      <c r="C418" s="28"/>
      <c r="D418" s="50"/>
    </row>
    <row r="419" spans="1:4">
      <c r="A419" s="52"/>
      <c r="B419" s="47"/>
      <c r="C419" s="28"/>
      <c r="D419" s="50"/>
    </row>
    <row r="420" spans="1:4">
      <c r="A420" s="52"/>
      <c r="B420" s="47"/>
      <c r="C420" s="28"/>
      <c r="D420" s="50"/>
    </row>
    <row r="421" spans="1:4">
      <c r="A421" s="52"/>
      <c r="B421" s="47"/>
      <c r="C421" s="28"/>
      <c r="D421" s="50"/>
    </row>
    <row r="422" spans="1:4">
      <c r="A422" s="52"/>
      <c r="B422" s="47"/>
      <c r="C422" s="28"/>
      <c r="D422" s="50"/>
    </row>
    <row r="423" spans="1:4">
      <c r="A423" s="52"/>
      <c r="B423" s="47"/>
      <c r="C423" s="28"/>
      <c r="D423" s="50"/>
    </row>
    <row r="424" spans="1:4">
      <c r="A424" s="52"/>
      <c r="B424" s="47"/>
      <c r="C424" s="28"/>
      <c r="D424" s="50"/>
    </row>
    <row r="425" spans="1:4">
      <c r="A425" s="52"/>
      <c r="B425" s="47"/>
      <c r="C425" s="28"/>
      <c r="D425" s="50"/>
    </row>
    <row r="426" spans="1:4">
      <c r="A426" s="52"/>
      <c r="B426" s="47"/>
      <c r="C426" s="28"/>
      <c r="D426" s="50"/>
    </row>
    <row r="427" spans="1:4">
      <c r="A427" s="52"/>
      <c r="B427" s="47"/>
      <c r="C427" s="28"/>
      <c r="D427" s="50"/>
    </row>
    <row r="428" spans="1:4">
      <c r="A428" s="52"/>
      <c r="B428" s="47"/>
      <c r="C428" s="28"/>
      <c r="D428" s="50"/>
    </row>
    <row r="429" spans="1:4">
      <c r="A429" s="52"/>
      <c r="B429" s="47"/>
      <c r="C429" s="28"/>
      <c r="D429" s="50"/>
    </row>
    <row r="430" spans="1:4">
      <c r="A430" s="52"/>
      <c r="B430" s="47"/>
      <c r="C430" s="28"/>
      <c r="D430" s="50"/>
    </row>
    <row r="431" spans="1:4">
      <c r="A431" s="52"/>
      <c r="B431" s="47"/>
      <c r="C431" s="28"/>
      <c r="D431" s="50"/>
    </row>
    <row r="432" spans="1:4">
      <c r="A432" s="52"/>
      <c r="B432" s="47"/>
      <c r="C432" s="28"/>
      <c r="D432" s="50"/>
    </row>
    <row r="433" spans="1:4">
      <c r="A433" s="52"/>
      <c r="B433" s="47"/>
      <c r="C433" s="28"/>
      <c r="D433" s="50"/>
    </row>
    <row r="434" spans="1:4">
      <c r="A434" s="52"/>
      <c r="B434" s="47"/>
      <c r="C434" s="28"/>
      <c r="D434" s="50"/>
    </row>
    <row r="435" spans="1:4">
      <c r="A435" s="52"/>
      <c r="B435" s="47"/>
      <c r="C435" s="28"/>
      <c r="D435" s="50"/>
    </row>
    <row r="436" spans="1:4">
      <c r="A436" s="52"/>
      <c r="B436" s="47"/>
      <c r="C436" s="28"/>
      <c r="D436" s="50"/>
    </row>
    <row r="437" spans="1:4">
      <c r="A437" s="52"/>
      <c r="B437" s="47"/>
      <c r="C437" s="28"/>
      <c r="D437" s="50"/>
    </row>
    <row r="438" spans="1:4">
      <c r="A438" s="52"/>
      <c r="B438" s="47"/>
      <c r="C438" s="28"/>
      <c r="D438" s="50"/>
    </row>
    <row r="439" spans="1:4">
      <c r="A439" s="52"/>
      <c r="B439" s="47"/>
      <c r="C439" s="28"/>
      <c r="D439" s="50"/>
    </row>
    <row r="440" spans="1:4">
      <c r="A440" s="52"/>
      <c r="B440" s="47"/>
      <c r="C440" s="28"/>
      <c r="D440" s="50"/>
    </row>
    <row r="441" spans="1:4">
      <c r="A441" s="52"/>
      <c r="B441" s="47"/>
      <c r="C441" s="28"/>
      <c r="D441" s="50"/>
    </row>
    <row r="442" spans="1:4">
      <c r="A442" s="52"/>
      <c r="B442" s="47"/>
      <c r="C442" s="28"/>
      <c r="D442" s="50"/>
    </row>
    <row r="443" spans="1:4">
      <c r="A443" s="52"/>
      <c r="B443" s="47"/>
      <c r="C443" s="28"/>
      <c r="D443" s="50"/>
    </row>
    <row r="444" spans="1:4">
      <c r="A444" s="52"/>
      <c r="B444" s="47"/>
      <c r="C444" s="28"/>
      <c r="D444" s="50"/>
    </row>
    <row r="445" spans="1:4">
      <c r="A445" s="52"/>
      <c r="B445" s="47"/>
      <c r="C445" s="28"/>
      <c r="D445" s="50"/>
    </row>
    <row r="446" spans="1:4">
      <c r="A446" s="52"/>
      <c r="B446" s="47"/>
      <c r="C446" s="28"/>
      <c r="D446" s="50"/>
    </row>
    <row r="447" spans="1:4">
      <c r="A447" s="52"/>
      <c r="B447" s="47"/>
      <c r="C447" s="28"/>
      <c r="D447" s="50"/>
    </row>
    <row r="448" spans="1:4">
      <c r="A448" s="52"/>
      <c r="B448" s="47"/>
      <c r="C448" s="28"/>
      <c r="D448" s="50"/>
    </row>
    <row r="449" spans="1:4">
      <c r="A449" s="52"/>
      <c r="B449" s="47"/>
      <c r="C449" s="28"/>
      <c r="D449" s="50"/>
    </row>
    <row r="450" spans="1:4">
      <c r="A450" s="52"/>
      <c r="B450" s="47"/>
      <c r="C450" s="28"/>
      <c r="D450" s="50"/>
    </row>
    <row r="451" spans="1:4">
      <c r="A451" s="52"/>
      <c r="B451" s="47"/>
      <c r="C451" s="28"/>
      <c r="D451" s="50"/>
    </row>
    <row r="452" spans="1:4">
      <c r="A452" s="52"/>
      <c r="B452" s="47"/>
      <c r="C452" s="28"/>
      <c r="D452" s="50"/>
    </row>
    <row r="453" spans="1:4">
      <c r="A453" s="52"/>
      <c r="B453" s="47"/>
      <c r="C453" s="28"/>
      <c r="D453" s="50"/>
    </row>
    <row r="454" spans="1:4">
      <c r="A454" s="52"/>
      <c r="B454" s="47"/>
      <c r="C454" s="28"/>
      <c r="D454" s="50"/>
    </row>
    <row r="455" spans="1:4">
      <c r="A455" s="52"/>
      <c r="B455" s="47"/>
      <c r="C455" s="28"/>
      <c r="D455" s="50"/>
    </row>
    <row r="456" spans="1:4">
      <c r="A456" s="52"/>
      <c r="B456" s="47"/>
      <c r="C456" s="28"/>
      <c r="D456" s="50"/>
    </row>
    <row r="457" spans="1:4">
      <c r="A457" s="52"/>
      <c r="B457" s="47"/>
      <c r="C457" s="28"/>
      <c r="D457" s="50"/>
    </row>
    <row r="458" spans="1:4">
      <c r="A458" s="52"/>
      <c r="B458" s="47"/>
      <c r="C458" s="28"/>
      <c r="D458" s="50"/>
    </row>
    <row r="459" spans="1:4">
      <c r="A459" s="52"/>
      <c r="B459" s="47"/>
      <c r="C459" s="28"/>
      <c r="D459" s="50"/>
    </row>
    <row r="460" spans="1:4">
      <c r="A460" s="52"/>
      <c r="B460" s="47"/>
      <c r="C460" s="28"/>
      <c r="D460" s="50"/>
    </row>
    <row r="461" spans="1:4">
      <c r="A461" s="52"/>
      <c r="B461" s="47"/>
      <c r="C461" s="28"/>
      <c r="D461" s="50"/>
    </row>
    <row r="462" spans="1:4">
      <c r="A462" s="52"/>
      <c r="B462" s="47"/>
      <c r="C462" s="28"/>
      <c r="D462" s="50"/>
    </row>
    <row r="463" spans="1:4">
      <c r="A463" s="52"/>
      <c r="B463" s="47"/>
      <c r="C463" s="28"/>
      <c r="D463" s="50"/>
    </row>
    <row r="464" spans="1:4">
      <c r="A464" s="52"/>
      <c r="B464" s="47"/>
      <c r="C464" s="28"/>
      <c r="D464" s="50"/>
    </row>
    <row r="465" spans="1:4">
      <c r="A465" s="52"/>
      <c r="B465" s="47"/>
      <c r="C465" s="28"/>
      <c r="D465" s="50"/>
    </row>
    <row r="466" spans="1:4">
      <c r="A466" s="52"/>
      <c r="B466" s="47"/>
      <c r="C466" s="28"/>
      <c r="D466" s="50"/>
    </row>
    <row r="467" spans="1:4">
      <c r="A467" s="52"/>
      <c r="B467" s="47"/>
      <c r="C467" s="28"/>
      <c r="D467" s="50"/>
    </row>
    <row r="468" spans="1:4">
      <c r="A468" s="52"/>
      <c r="B468" s="47"/>
      <c r="C468" s="28"/>
      <c r="D468" s="50"/>
    </row>
    <row r="469" spans="1:4">
      <c r="A469" s="52"/>
      <c r="B469" s="47"/>
      <c r="C469" s="28"/>
      <c r="D469" s="50"/>
    </row>
    <row r="470" spans="1:4">
      <c r="A470" s="52"/>
      <c r="B470" s="47"/>
      <c r="C470" s="28"/>
      <c r="D470" s="50"/>
    </row>
    <row r="471" spans="1:4">
      <c r="A471" s="52"/>
      <c r="B471" s="47"/>
      <c r="C471" s="28"/>
      <c r="D471" s="50"/>
    </row>
    <row r="472" spans="1:4">
      <c r="A472" s="52"/>
      <c r="B472" s="47"/>
      <c r="C472" s="28"/>
      <c r="D472" s="50"/>
    </row>
    <row r="473" spans="1:4">
      <c r="A473" s="52"/>
      <c r="B473" s="47"/>
      <c r="C473" s="28"/>
      <c r="D473" s="50"/>
    </row>
    <row r="474" spans="1:4">
      <c r="A474" s="52"/>
      <c r="B474" s="47"/>
      <c r="C474" s="28"/>
      <c r="D474" s="50"/>
    </row>
    <row r="475" spans="1:4">
      <c r="A475" s="52"/>
      <c r="B475" s="47"/>
      <c r="C475" s="28"/>
      <c r="D475" s="50"/>
    </row>
    <row r="476" spans="1:4">
      <c r="A476" s="52"/>
      <c r="B476" s="47"/>
      <c r="C476" s="28"/>
      <c r="D476" s="50"/>
    </row>
    <row r="477" spans="1:4">
      <c r="A477" s="52"/>
      <c r="B477" s="47"/>
      <c r="C477" s="28"/>
      <c r="D477" s="50"/>
    </row>
    <row r="478" spans="1:4">
      <c r="A478" s="52"/>
      <c r="B478" s="47"/>
      <c r="C478" s="28"/>
      <c r="D478" s="50"/>
    </row>
    <row r="479" spans="1:4">
      <c r="A479" s="52"/>
      <c r="B479" s="47"/>
      <c r="C479" s="28"/>
      <c r="D479" s="50"/>
    </row>
    <row r="480" spans="1:4">
      <c r="A480" s="52"/>
      <c r="B480" s="47"/>
      <c r="C480" s="28"/>
      <c r="D480" s="50"/>
    </row>
    <row r="481" spans="1:4">
      <c r="A481" s="52"/>
      <c r="B481" s="47"/>
      <c r="C481" s="28"/>
      <c r="D481" s="50"/>
    </row>
    <row r="482" spans="1:4">
      <c r="A482" s="52"/>
      <c r="B482" s="47"/>
      <c r="C482" s="28"/>
      <c r="D482" s="50"/>
    </row>
    <row r="483" spans="1:4">
      <c r="A483" s="52"/>
      <c r="B483" s="47"/>
      <c r="C483" s="28"/>
      <c r="D483" s="50"/>
    </row>
    <row r="484" spans="1:4">
      <c r="A484" s="53"/>
    </row>
    <row r="485" spans="1:4">
      <c r="A485" s="53"/>
    </row>
    <row r="486" spans="1:4">
      <c r="A486" s="53"/>
    </row>
    <row r="487" spans="1:4">
      <c r="A487" s="53"/>
    </row>
    <row r="488" spans="1:4">
      <c r="A488" s="53"/>
    </row>
    <row r="489" spans="1:4">
      <c r="A489" s="53"/>
    </row>
    <row r="490" spans="1:4">
      <c r="A490" s="53"/>
    </row>
    <row r="491" spans="1:4">
      <c r="A491" s="53"/>
    </row>
    <row r="492" spans="1:4">
      <c r="A492" s="53"/>
    </row>
    <row r="493" spans="1:4">
      <c r="A493" s="53"/>
    </row>
    <row r="494" spans="1:4">
      <c r="A494" s="53"/>
    </row>
    <row r="495" spans="1:4">
      <c r="A495" s="53"/>
    </row>
    <row r="496" spans="1:4">
      <c r="A496" s="53"/>
    </row>
    <row r="497" spans="1:1">
      <c r="A497" s="53"/>
    </row>
    <row r="498" spans="1:1">
      <c r="A498" s="53"/>
    </row>
  </sheetData>
  <mergeCells count="1">
    <mergeCell ref="A1:D1"/>
  </mergeCells>
  <phoneticPr fontId="5" type="noConversion"/>
  <conditionalFormatting sqref="D1:D1048576">
    <cfRule type="cellIs" dxfId="1" priority="7" operator="lessThanOrEqual">
      <formula>0</formula>
    </cfRule>
  </conditionalFormatting>
  <conditionalFormatting sqref="D3:D483">
    <cfRule type="cellIs" dxfId="0" priority="1" operator="between">
      <formula>1</formula>
      <formula>3</formula>
    </cfRule>
  </conditionalFormatting>
  <pageMargins left="0.7" right="0.7" top="0.75" bottom="0.75" header="0.3" footer="0.3"/>
  <pageSetup paperSize="9" scale="94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7</xdr:col>
                <xdr:colOff>47625</xdr:colOff>
                <xdr:row>0</xdr:row>
                <xdr:rowOff>95250</xdr:rowOff>
              </from>
              <to>
                <xdr:col>9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5837-7B84-410F-9353-2DD9FA294385}">
  <sheetPr codeName="Feuil2"/>
  <dimension ref="A1:M311"/>
  <sheetViews>
    <sheetView zoomScaleNormal="100" workbookViewId="0">
      <selection activeCell="H11" sqref="H11"/>
    </sheetView>
  </sheetViews>
  <sheetFormatPr baseColWidth="10" defaultRowHeight="15"/>
  <cols>
    <col min="1" max="1" width="31.140625" customWidth="1"/>
    <col min="2" max="2" width="23" customWidth="1"/>
    <col min="3" max="3" width="19.42578125" customWidth="1"/>
    <col min="4" max="4" width="15.140625" customWidth="1"/>
    <col min="5" max="5" width="4.5703125" customWidth="1"/>
    <col min="10" max="11" width="11.42578125" style="27"/>
    <col min="12" max="12" width="12.7109375" style="27" customWidth="1"/>
    <col min="13" max="13" width="11.42578125" style="27"/>
  </cols>
  <sheetData>
    <row r="1" spans="1:13" ht="21" customHeight="1">
      <c r="A1" s="72" t="s">
        <v>4</v>
      </c>
      <c r="B1" s="72"/>
      <c r="C1" s="72"/>
      <c r="D1" s="72"/>
      <c r="F1" s="73" t="s">
        <v>24</v>
      </c>
      <c r="G1" s="74"/>
      <c r="H1" s="75"/>
      <c r="J1" s="36" t="s">
        <v>25</v>
      </c>
      <c r="K1" s="36" t="s">
        <v>26</v>
      </c>
      <c r="L1" s="36" t="s">
        <v>27</v>
      </c>
      <c r="M1" s="36" t="s">
        <v>28</v>
      </c>
    </row>
    <row r="2" spans="1:13" ht="15" customHeight="1">
      <c r="A2" s="32" t="s">
        <v>3</v>
      </c>
      <c r="B2" s="32" t="s">
        <v>20</v>
      </c>
      <c r="C2" s="32" t="s">
        <v>21</v>
      </c>
      <c r="D2" s="32" t="s">
        <v>23</v>
      </c>
      <c r="F2" s="76"/>
      <c r="G2" s="77"/>
      <c r="H2" s="78"/>
      <c r="J2" s="37" t="s">
        <v>30</v>
      </c>
      <c r="K2" s="37" t="s">
        <v>31</v>
      </c>
      <c r="L2" s="37">
        <v>697241071</v>
      </c>
      <c r="M2" s="37" t="s">
        <v>29</v>
      </c>
    </row>
    <row r="3" spans="1:13" ht="15" customHeight="1">
      <c r="A3" s="2"/>
      <c r="B3" s="26"/>
      <c r="C3" s="45"/>
      <c r="D3" s="33"/>
      <c r="F3" s="79">
        <f>SUM(D3:D309)</f>
        <v>0</v>
      </c>
      <c r="G3" s="80"/>
      <c r="H3" s="81"/>
      <c r="J3" s="37"/>
      <c r="K3" s="37"/>
      <c r="L3" s="37"/>
      <c r="M3" s="37"/>
    </row>
    <row r="4" spans="1:13" ht="15" customHeight="1" thickBot="1">
      <c r="A4" s="2"/>
      <c r="B4" s="2"/>
      <c r="C4" s="45"/>
      <c r="D4" s="33"/>
      <c r="F4" s="82"/>
      <c r="G4" s="83"/>
      <c r="H4" s="84"/>
      <c r="J4" s="37"/>
      <c r="K4" s="37"/>
      <c r="L4" s="37"/>
      <c r="M4" s="37"/>
    </row>
    <row r="5" spans="1:13">
      <c r="A5" s="2"/>
      <c r="B5" s="26"/>
      <c r="C5" s="45"/>
      <c r="D5" s="33"/>
      <c r="J5" s="37"/>
      <c r="K5" s="37"/>
      <c r="L5" s="37"/>
      <c r="M5" s="37"/>
    </row>
    <row r="6" spans="1:13">
      <c r="A6" s="2"/>
      <c r="B6" s="26"/>
      <c r="C6" s="45"/>
      <c r="D6" s="33"/>
      <c r="J6" s="37"/>
      <c r="K6" s="37"/>
      <c r="L6" s="37"/>
      <c r="M6" s="37"/>
    </row>
    <row r="7" spans="1:13">
      <c r="A7" s="2"/>
      <c r="B7" s="26"/>
      <c r="C7" s="45"/>
      <c r="D7" s="33"/>
      <c r="J7" s="37"/>
      <c r="K7" s="37"/>
      <c r="L7" s="37"/>
      <c r="M7" s="37"/>
    </row>
    <row r="8" spans="1:13">
      <c r="A8" s="2"/>
      <c r="B8" s="26"/>
      <c r="C8" s="45"/>
      <c r="D8" s="33"/>
      <c r="J8" s="37"/>
      <c r="K8" s="37"/>
      <c r="L8" s="37"/>
      <c r="M8" s="37"/>
    </row>
    <row r="9" spans="1:13">
      <c r="A9" s="2"/>
      <c r="B9" s="26"/>
      <c r="C9" s="45"/>
      <c r="D9" s="33"/>
      <c r="J9" s="37"/>
      <c r="K9" s="37"/>
      <c r="L9" s="37"/>
      <c r="M9" s="37"/>
    </row>
    <row r="10" spans="1:13">
      <c r="A10" s="2"/>
      <c r="B10" s="26"/>
      <c r="C10" s="45"/>
      <c r="D10" s="33"/>
      <c r="J10" s="37"/>
      <c r="K10" s="37"/>
      <c r="L10" s="37"/>
      <c r="M10" s="37"/>
    </row>
    <row r="11" spans="1:13">
      <c r="A11" s="2"/>
      <c r="B11" s="26"/>
      <c r="C11" s="45"/>
      <c r="D11" s="33"/>
      <c r="J11" s="37"/>
      <c r="K11" s="37"/>
      <c r="L11" s="37"/>
      <c r="M11" s="37"/>
    </row>
    <row r="12" spans="1:13">
      <c r="A12" s="2"/>
      <c r="B12" s="26"/>
      <c r="C12" s="45"/>
      <c r="D12" s="33"/>
      <c r="G12" t="s">
        <v>22</v>
      </c>
      <c r="J12" s="37"/>
      <c r="K12" s="37"/>
      <c r="L12" s="37"/>
      <c r="M12" s="37"/>
    </row>
    <row r="13" spans="1:13">
      <c r="A13" s="2"/>
      <c r="B13" s="26"/>
      <c r="C13" s="45"/>
      <c r="D13" s="33"/>
      <c r="J13" s="37"/>
      <c r="K13" s="37"/>
      <c r="L13" s="37"/>
      <c r="M13" s="37"/>
    </row>
    <row r="14" spans="1:13">
      <c r="A14" s="2"/>
      <c r="B14" s="26"/>
      <c r="C14" s="45"/>
      <c r="D14" s="33"/>
      <c r="J14" s="37"/>
      <c r="K14" s="37"/>
      <c r="L14" s="37"/>
      <c r="M14" s="37"/>
    </row>
    <row r="15" spans="1:13">
      <c r="A15" s="2"/>
      <c r="B15" s="26"/>
      <c r="C15" s="43"/>
      <c r="D15" s="33"/>
      <c r="J15" s="37"/>
      <c r="K15" s="37"/>
      <c r="L15" s="37"/>
      <c r="M15" s="37"/>
    </row>
    <row r="16" spans="1:13">
      <c r="A16" s="2"/>
      <c r="B16" s="26"/>
      <c r="C16" s="43"/>
      <c r="D16" s="33"/>
      <c r="J16" s="37"/>
      <c r="K16" s="37"/>
      <c r="L16" s="37"/>
      <c r="M16" s="37"/>
    </row>
    <row r="17" spans="1:13">
      <c r="A17" s="2"/>
      <c r="B17" s="26"/>
      <c r="C17" s="43"/>
      <c r="D17" s="33"/>
      <c r="J17" s="37"/>
      <c r="K17" s="37"/>
      <c r="L17" s="37"/>
      <c r="M17" s="37"/>
    </row>
    <row r="18" spans="1:13">
      <c r="A18" s="2"/>
      <c r="B18" s="26"/>
      <c r="C18" s="43"/>
      <c r="D18" s="33"/>
      <c r="J18" s="37"/>
      <c r="K18" s="37"/>
      <c r="L18" s="37"/>
      <c r="M18" s="37"/>
    </row>
    <row r="19" spans="1:13">
      <c r="A19" s="2"/>
      <c r="B19" s="26"/>
      <c r="C19" s="43"/>
      <c r="D19" s="33"/>
      <c r="J19" s="37"/>
      <c r="K19" s="37"/>
      <c r="L19" s="37"/>
      <c r="M19" s="37"/>
    </row>
    <row r="20" spans="1:13">
      <c r="A20" s="2"/>
      <c r="B20" s="26"/>
      <c r="C20" s="43"/>
      <c r="D20" s="33"/>
      <c r="J20" s="37"/>
      <c r="K20" s="37"/>
      <c r="L20" s="37"/>
      <c r="M20" s="37"/>
    </row>
    <row r="21" spans="1:13">
      <c r="A21" s="2"/>
      <c r="B21" s="26"/>
      <c r="C21" s="43"/>
      <c r="D21" s="33"/>
      <c r="J21" s="37"/>
      <c r="K21" s="37"/>
      <c r="L21" s="37"/>
      <c r="M21" s="37"/>
    </row>
    <row r="22" spans="1:13">
      <c r="A22" s="2"/>
      <c r="B22" s="26"/>
      <c r="C22" s="43"/>
      <c r="D22" s="33"/>
      <c r="J22" s="37"/>
      <c r="K22" s="37"/>
      <c r="L22" s="37"/>
      <c r="M22" s="37"/>
    </row>
    <row r="23" spans="1:13">
      <c r="A23" s="2"/>
      <c r="B23" s="26"/>
      <c r="C23" s="43"/>
      <c r="D23" s="33"/>
      <c r="J23" s="37"/>
      <c r="K23" s="37"/>
      <c r="L23" s="37"/>
      <c r="M23" s="37"/>
    </row>
    <row r="24" spans="1:13">
      <c r="A24" s="2"/>
      <c r="B24" s="26"/>
      <c r="C24" s="43"/>
      <c r="D24" s="33"/>
      <c r="J24" s="37"/>
      <c r="K24" s="37"/>
      <c r="L24" s="37"/>
      <c r="M24" s="37"/>
    </row>
    <row r="25" spans="1:13">
      <c r="A25" s="2"/>
      <c r="B25" s="26"/>
      <c r="C25" s="43"/>
      <c r="D25" s="33"/>
      <c r="J25" s="37"/>
      <c r="K25" s="37"/>
      <c r="L25" s="37"/>
      <c r="M25" s="37"/>
    </row>
    <row r="26" spans="1:13">
      <c r="A26" s="2"/>
      <c r="B26" s="26"/>
      <c r="C26" s="43"/>
      <c r="D26" s="33"/>
      <c r="J26" s="37"/>
      <c r="K26" s="37"/>
      <c r="L26" s="37"/>
      <c r="M26" s="37"/>
    </row>
    <row r="27" spans="1:13">
      <c r="A27" s="2"/>
      <c r="B27" s="26"/>
      <c r="C27" s="43"/>
      <c r="D27" s="33"/>
      <c r="J27" s="37"/>
      <c r="K27" s="37"/>
      <c r="L27" s="37"/>
      <c r="M27" s="37"/>
    </row>
    <row r="28" spans="1:13">
      <c r="A28" s="2"/>
      <c r="B28" s="26"/>
      <c r="C28" s="43"/>
      <c r="D28" s="33"/>
      <c r="J28" s="37"/>
      <c r="K28" s="37"/>
      <c r="L28" s="37"/>
      <c r="M28" s="37"/>
    </row>
    <row r="29" spans="1:13">
      <c r="A29" s="2"/>
      <c r="B29" s="26"/>
      <c r="C29" s="43"/>
      <c r="D29" s="33"/>
      <c r="J29" s="37"/>
      <c r="K29" s="37"/>
      <c r="L29" s="37"/>
      <c r="M29" s="37"/>
    </row>
    <row r="30" spans="1:13">
      <c r="A30" s="2"/>
      <c r="B30" s="26"/>
      <c r="C30" s="43"/>
      <c r="D30" s="33"/>
      <c r="J30" s="37"/>
      <c r="K30" s="37"/>
      <c r="L30" s="37"/>
      <c r="M30" s="37"/>
    </row>
    <row r="31" spans="1:13">
      <c r="A31" s="2"/>
      <c r="B31" s="26"/>
      <c r="C31" s="43"/>
      <c r="D31" s="33"/>
      <c r="J31" s="37"/>
      <c r="K31" s="37"/>
      <c r="L31" s="37"/>
      <c r="M31" s="37"/>
    </row>
    <row r="32" spans="1:13">
      <c r="A32" s="2"/>
      <c r="B32" s="26"/>
      <c r="C32" s="43"/>
      <c r="D32" s="33"/>
      <c r="J32" s="37"/>
      <c r="K32" s="37"/>
      <c r="L32" s="37"/>
      <c r="M32" s="37"/>
    </row>
    <row r="33" spans="1:13">
      <c r="A33" s="2"/>
      <c r="B33" s="26"/>
      <c r="C33" s="43"/>
      <c r="D33" s="33"/>
      <c r="J33" s="37"/>
      <c r="K33" s="37"/>
      <c r="L33" s="37"/>
      <c r="M33" s="37"/>
    </row>
    <row r="34" spans="1:13">
      <c r="A34" s="2"/>
      <c r="B34" s="26"/>
      <c r="C34" s="43"/>
      <c r="D34" s="33"/>
      <c r="J34" s="37"/>
      <c r="K34" s="37"/>
      <c r="L34" s="37"/>
      <c r="M34" s="37"/>
    </row>
    <row r="35" spans="1:13">
      <c r="A35" s="2"/>
      <c r="B35" s="26"/>
      <c r="C35" s="43"/>
      <c r="D35" s="33"/>
      <c r="J35" s="37"/>
      <c r="K35" s="37"/>
      <c r="L35" s="37"/>
      <c r="M35" s="37"/>
    </row>
    <row r="36" spans="1:13">
      <c r="A36" s="2"/>
      <c r="B36" s="26"/>
      <c r="C36" s="43"/>
      <c r="D36" s="33"/>
      <c r="J36" s="37"/>
      <c r="K36" s="37"/>
      <c r="L36" s="37"/>
      <c r="M36" s="37"/>
    </row>
    <row r="37" spans="1:13">
      <c r="A37" s="2"/>
      <c r="B37" s="26"/>
      <c r="C37" s="43"/>
      <c r="D37" s="33"/>
      <c r="J37" s="37"/>
      <c r="K37" s="37"/>
      <c r="L37" s="37"/>
      <c r="M37" s="37"/>
    </row>
    <row r="38" spans="1:13">
      <c r="A38" s="2"/>
      <c r="B38" s="26"/>
      <c r="C38" s="43"/>
      <c r="D38" s="33"/>
      <c r="J38" s="37"/>
      <c r="K38" s="37"/>
      <c r="L38" s="37"/>
      <c r="M38" s="37"/>
    </row>
    <row r="39" spans="1:13">
      <c r="A39" s="2"/>
      <c r="B39" s="26"/>
      <c r="C39" s="43"/>
      <c r="D39" s="33"/>
      <c r="J39" s="37"/>
      <c r="K39" s="37"/>
      <c r="L39" s="37"/>
      <c r="M39" s="37"/>
    </row>
    <row r="40" spans="1:13">
      <c r="A40" s="2"/>
      <c r="B40" s="26"/>
      <c r="C40" s="43"/>
      <c r="D40" s="33"/>
      <c r="J40" s="37"/>
      <c r="K40" s="37"/>
      <c r="L40" s="37"/>
      <c r="M40" s="37"/>
    </row>
    <row r="41" spans="1:13">
      <c r="A41" s="2"/>
      <c r="B41" s="26"/>
      <c r="C41" s="43"/>
      <c r="D41" s="33"/>
      <c r="J41" s="37"/>
      <c r="K41" s="37"/>
      <c r="L41" s="37"/>
      <c r="M41" s="37"/>
    </row>
    <row r="42" spans="1:13">
      <c r="A42" s="2"/>
      <c r="B42" s="26"/>
      <c r="C42" s="43"/>
      <c r="D42" s="33"/>
      <c r="J42" s="37"/>
      <c r="K42" s="37"/>
      <c r="L42" s="37"/>
      <c r="M42" s="37"/>
    </row>
    <row r="43" spans="1:13">
      <c r="A43" s="2"/>
      <c r="B43" s="26"/>
      <c r="C43" s="43"/>
      <c r="D43" s="33"/>
      <c r="J43" s="37"/>
      <c r="K43" s="37"/>
      <c r="L43" s="37"/>
      <c r="M43" s="37"/>
    </row>
    <row r="44" spans="1:13">
      <c r="A44" s="2"/>
      <c r="B44" s="26"/>
      <c r="C44" s="43"/>
      <c r="D44" s="33"/>
      <c r="J44" s="37"/>
      <c r="K44" s="37"/>
      <c r="L44" s="37"/>
      <c r="M44" s="37"/>
    </row>
    <row r="45" spans="1:13">
      <c r="A45" s="2"/>
      <c r="B45" s="26"/>
      <c r="C45" s="43"/>
      <c r="D45" s="33"/>
      <c r="J45" s="37"/>
      <c r="K45" s="37"/>
      <c r="L45" s="37"/>
      <c r="M45" s="37"/>
    </row>
    <row r="46" spans="1:13">
      <c r="A46" s="2"/>
      <c r="B46" s="26"/>
      <c r="C46" s="43"/>
      <c r="D46" s="33"/>
      <c r="J46" s="37"/>
      <c r="K46" s="37"/>
      <c r="L46" s="37"/>
      <c r="M46" s="37"/>
    </row>
    <row r="47" spans="1:13">
      <c r="A47" s="2"/>
      <c r="B47" s="26"/>
      <c r="C47" s="43"/>
      <c r="D47" s="33"/>
      <c r="J47" s="37"/>
      <c r="K47" s="37"/>
      <c r="L47" s="37"/>
      <c r="M47" s="37"/>
    </row>
    <row r="48" spans="1:13">
      <c r="A48" s="2"/>
      <c r="B48" s="26"/>
      <c r="C48" s="43"/>
      <c r="D48" s="33"/>
      <c r="J48" s="37"/>
      <c r="K48" s="37"/>
      <c r="L48" s="37"/>
      <c r="M48" s="37"/>
    </row>
    <row r="49" spans="1:13">
      <c r="A49" s="2"/>
      <c r="B49" s="26"/>
      <c r="C49" s="43"/>
      <c r="D49" s="33"/>
      <c r="J49" s="37"/>
      <c r="K49" s="37"/>
      <c r="L49" s="37"/>
      <c r="M49" s="37"/>
    </row>
    <row r="50" spans="1:13">
      <c r="A50" s="2"/>
      <c r="B50" s="26"/>
      <c r="C50" s="43"/>
      <c r="D50" s="33"/>
      <c r="J50" s="37"/>
      <c r="K50" s="37"/>
      <c r="L50" s="37"/>
      <c r="M50" s="37"/>
    </row>
    <row r="51" spans="1:13">
      <c r="A51" s="2"/>
      <c r="B51" s="26"/>
      <c r="C51" s="43"/>
      <c r="D51" s="33"/>
      <c r="J51" s="37"/>
      <c r="K51" s="37"/>
      <c r="L51" s="37"/>
      <c r="M51" s="37"/>
    </row>
    <row r="52" spans="1:13">
      <c r="A52" s="2"/>
      <c r="B52" s="26"/>
      <c r="C52" s="43"/>
      <c r="D52" s="33"/>
      <c r="J52" s="37"/>
      <c r="K52" s="37"/>
      <c r="L52" s="37"/>
      <c r="M52" s="37"/>
    </row>
    <row r="53" spans="1:13">
      <c r="A53" s="2"/>
      <c r="B53" s="26"/>
      <c r="C53" s="43"/>
      <c r="D53" s="33"/>
      <c r="J53" s="37"/>
      <c r="K53" s="37"/>
      <c r="L53" s="37"/>
      <c r="M53" s="37"/>
    </row>
    <row r="54" spans="1:13">
      <c r="A54" s="2"/>
      <c r="B54" s="26"/>
      <c r="C54" s="43"/>
      <c r="D54" s="33"/>
      <c r="J54" s="37"/>
      <c r="K54" s="37"/>
      <c r="L54" s="37"/>
      <c r="M54" s="37"/>
    </row>
    <row r="55" spans="1:13">
      <c r="A55" s="2"/>
      <c r="B55" s="26"/>
      <c r="C55" s="43"/>
      <c r="D55" s="33"/>
      <c r="J55" s="37"/>
      <c r="K55" s="37"/>
      <c r="L55" s="37"/>
      <c r="M55" s="37"/>
    </row>
    <row r="56" spans="1:13">
      <c r="A56" s="2"/>
      <c r="B56" s="26"/>
      <c r="C56" s="43"/>
      <c r="D56" s="33"/>
      <c r="J56" s="37"/>
      <c r="K56" s="37"/>
      <c r="L56" s="37"/>
      <c r="M56" s="37"/>
    </row>
    <row r="57" spans="1:13">
      <c r="A57" s="2"/>
      <c r="B57" s="26"/>
      <c r="C57" s="43"/>
      <c r="D57" s="33"/>
      <c r="J57" s="37"/>
      <c r="K57" s="37"/>
      <c r="L57" s="37"/>
      <c r="M57" s="37"/>
    </row>
    <row r="58" spans="1:13">
      <c r="A58" s="2"/>
      <c r="B58" s="26"/>
      <c r="C58" s="43"/>
      <c r="D58" s="33"/>
      <c r="J58" s="37"/>
      <c r="K58" s="37"/>
      <c r="L58" s="37"/>
      <c r="M58" s="37"/>
    </row>
    <row r="59" spans="1:13">
      <c r="A59" s="2"/>
      <c r="B59" s="26"/>
      <c r="C59" s="43"/>
      <c r="D59" s="33"/>
      <c r="J59" s="37"/>
      <c r="K59" s="37"/>
      <c r="L59" s="37"/>
      <c r="M59" s="37"/>
    </row>
    <row r="60" spans="1:13">
      <c r="A60" s="2"/>
      <c r="B60" s="26"/>
      <c r="C60" s="43"/>
      <c r="D60" s="33"/>
      <c r="J60" s="37"/>
      <c r="K60" s="37"/>
      <c r="L60" s="37"/>
      <c r="M60" s="37"/>
    </row>
    <row r="61" spans="1:13">
      <c r="A61" s="2"/>
      <c r="B61" s="26"/>
      <c r="C61" s="43"/>
      <c r="D61" s="33"/>
      <c r="J61" s="37"/>
      <c r="K61" s="37"/>
      <c r="L61" s="37"/>
      <c r="M61" s="37"/>
    </row>
    <row r="62" spans="1:13">
      <c r="A62" s="2"/>
      <c r="B62" s="26"/>
      <c r="C62" s="43"/>
      <c r="D62" s="33"/>
      <c r="J62" s="37"/>
      <c r="K62" s="37"/>
      <c r="L62" s="37"/>
      <c r="M62" s="37"/>
    </row>
    <row r="63" spans="1:13">
      <c r="A63" s="2"/>
      <c r="B63" s="26"/>
      <c r="C63" s="43"/>
      <c r="D63" s="33"/>
      <c r="J63" s="37"/>
      <c r="K63" s="37"/>
      <c r="L63" s="37"/>
      <c r="M63" s="37"/>
    </row>
    <row r="64" spans="1:13">
      <c r="A64" s="2"/>
      <c r="B64" s="26"/>
      <c r="C64" s="43"/>
      <c r="D64" s="33"/>
      <c r="J64" s="37"/>
      <c r="K64" s="37"/>
      <c r="L64" s="37"/>
      <c r="M64" s="37"/>
    </row>
    <row r="65" spans="1:13">
      <c r="A65" s="2"/>
      <c r="B65" s="26"/>
      <c r="C65" s="43"/>
      <c r="D65" s="33"/>
      <c r="J65" s="37"/>
      <c r="K65" s="37"/>
      <c r="L65" s="37"/>
      <c r="M65" s="37"/>
    </row>
    <row r="66" spans="1:13">
      <c r="A66" s="2"/>
      <c r="B66" s="26"/>
      <c r="C66" s="43"/>
      <c r="D66" s="33"/>
      <c r="J66" s="37"/>
      <c r="K66" s="37"/>
      <c r="L66" s="37"/>
      <c r="M66" s="37"/>
    </row>
    <row r="67" spans="1:13">
      <c r="A67" s="2"/>
      <c r="B67" s="26"/>
      <c r="C67" s="43"/>
      <c r="D67" s="33"/>
      <c r="J67" s="37"/>
      <c r="K67" s="37"/>
      <c r="L67" s="37"/>
      <c r="M67" s="37"/>
    </row>
    <row r="68" spans="1:13">
      <c r="A68" s="2"/>
      <c r="B68" s="26"/>
      <c r="C68" s="43"/>
      <c r="D68" s="33"/>
      <c r="J68" s="37"/>
      <c r="K68" s="37"/>
      <c r="L68" s="37"/>
      <c r="M68" s="37"/>
    </row>
    <row r="69" spans="1:13">
      <c r="A69" s="2"/>
      <c r="B69" s="26"/>
      <c r="C69" s="43"/>
      <c r="D69" s="33"/>
      <c r="J69" s="37"/>
      <c r="K69" s="37"/>
      <c r="L69" s="37"/>
      <c r="M69" s="37"/>
    </row>
    <row r="70" spans="1:13">
      <c r="A70" s="2"/>
      <c r="B70" s="26"/>
      <c r="C70" s="43"/>
      <c r="D70" s="33"/>
      <c r="J70" s="37"/>
      <c r="K70" s="37"/>
      <c r="L70" s="37"/>
      <c r="M70" s="37"/>
    </row>
    <row r="71" spans="1:13">
      <c r="A71" s="2"/>
      <c r="B71" s="26"/>
      <c r="C71" s="43"/>
      <c r="D71" s="33"/>
      <c r="J71" s="37"/>
      <c r="K71" s="37"/>
      <c r="L71" s="37"/>
      <c r="M71" s="37"/>
    </row>
    <row r="72" spans="1:13">
      <c r="A72" s="2"/>
      <c r="B72" s="26"/>
      <c r="C72" s="43"/>
      <c r="D72" s="33"/>
      <c r="J72" s="37"/>
      <c r="K72" s="37"/>
      <c r="L72" s="37"/>
      <c r="M72" s="37"/>
    </row>
    <row r="73" spans="1:13">
      <c r="A73" s="2"/>
      <c r="B73" s="26"/>
      <c r="C73" s="43"/>
      <c r="D73" s="33"/>
      <c r="J73" s="37"/>
      <c r="K73" s="37"/>
      <c r="L73" s="37"/>
      <c r="M73" s="37"/>
    </row>
    <row r="74" spans="1:13">
      <c r="A74" s="2"/>
      <c r="B74" s="26"/>
      <c r="C74" s="43"/>
      <c r="D74" s="33"/>
      <c r="J74" s="37"/>
      <c r="K74" s="37"/>
      <c r="L74" s="37"/>
      <c r="M74" s="37"/>
    </row>
    <row r="75" spans="1:13">
      <c r="A75" s="2"/>
      <c r="B75" s="26"/>
      <c r="C75" s="43"/>
      <c r="D75" s="33"/>
      <c r="J75" s="37"/>
      <c r="K75" s="37"/>
      <c r="L75" s="37"/>
      <c r="M75" s="37"/>
    </row>
    <row r="76" spans="1:13">
      <c r="A76" s="2"/>
      <c r="B76" s="26"/>
      <c r="C76" s="43"/>
      <c r="D76" s="33"/>
      <c r="J76" s="37"/>
      <c r="K76" s="37"/>
      <c r="L76" s="37"/>
      <c r="M76" s="37"/>
    </row>
    <row r="77" spans="1:13">
      <c r="A77" s="2"/>
      <c r="B77" s="26"/>
      <c r="C77" s="43"/>
      <c r="D77" s="33"/>
      <c r="J77" s="37"/>
      <c r="K77" s="37"/>
      <c r="L77" s="37"/>
      <c r="M77" s="37"/>
    </row>
    <row r="78" spans="1:13">
      <c r="A78" s="2"/>
      <c r="B78" s="26"/>
      <c r="C78" s="43"/>
      <c r="D78" s="33"/>
      <c r="J78" s="37"/>
      <c r="K78" s="37"/>
      <c r="L78" s="37"/>
      <c r="M78" s="37"/>
    </row>
    <row r="79" spans="1:13">
      <c r="A79" s="2"/>
      <c r="B79" s="26"/>
      <c r="C79" s="43"/>
      <c r="D79" s="33"/>
      <c r="J79" s="37"/>
      <c r="K79" s="37"/>
      <c r="L79" s="37"/>
      <c r="M79" s="37"/>
    </row>
    <row r="80" spans="1:13">
      <c r="A80" s="2"/>
      <c r="B80" s="26"/>
      <c r="C80" s="43"/>
      <c r="D80" s="33"/>
      <c r="J80" s="37"/>
      <c r="K80" s="37"/>
      <c r="L80" s="37"/>
      <c r="M80" s="37"/>
    </row>
    <row r="81" spans="1:13">
      <c r="A81" s="2"/>
      <c r="B81" s="26"/>
      <c r="C81" s="43"/>
      <c r="D81" s="33"/>
      <c r="J81" s="37"/>
      <c r="K81" s="37"/>
      <c r="L81" s="37"/>
      <c r="M81" s="37"/>
    </row>
    <row r="82" spans="1:13">
      <c r="A82" s="2"/>
      <c r="B82" s="26"/>
      <c r="C82" s="43"/>
      <c r="D82" s="33"/>
      <c r="J82" s="37"/>
      <c r="K82" s="37"/>
      <c r="L82" s="37"/>
      <c r="M82" s="37"/>
    </row>
    <row r="83" spans="1:13">
      <c r="A83" s="2"/>
      <c r="B83" s="26"/>
      <c r="C83" s="43"/>
      <c r="D83" s="33"/>
      <c r="J83" s="37"/>
      <c r="K83" s="37"/>
      <c r="L83" s="37"/>
      <c r="M83" s="37"/>
    </row>
    <row r="84" spans="1:13">
      <c r="A84" s="2"/>
      <c r="B84" s="26"/>
      <c r="C84" s="43"/>
      <c r="D84" s="33"/>
      <c r="J84" s="37"/>
      <c r="K84" s="37"/>
      <c r="L84" s="37"/>
      <c r="M84" s="37"/>
    </row>
    <row r="85" spans="1:13">
      <c r="A85" s="2"/>
      <c r="B85" s="26"/>
      <c r="C85" s="43"/>
      <c r="D85" s="33"/>
      <c r="J85" s="37"/>
      <c r="K85" s="37"/>
      <c r="L85" s="37"/>
      <c r="M85" s="37"/>
    </row>
    <row r="86" spans="1:13">
      <c r="A86" s="2"/>
      <c r="B86" s="26"/>
      <c r="C86" s="43"/>
      <c r="D86" s="33"/>
      <c r="J86" s="37"/>
      <c r="K86" s="37"/>
      <c r="L86" s="37"/>
      <c r="M86" s="37"/>
    </row>
    <row r="87" spans="1:13">
      <c r="A87" s="2"/>
      <c r="B87" s="26"/>
      <c r="C87" s="43"/>
      <c r="D87" s="33"/>
      <c r="J87" s="37"/>
      <c r="K87" s="37"/>
      <c r="L87" s="37"/>
      <c r="M87" s="37"/>
    </row>
    <row r="88" spans="1:13">
      <c r="A88" s="2"/>
      <c r="B88" s="26"/>
      <c r="C88" s="43"/>
      <c r="D88" s="33"/>
      <c r="J88" s="37"/>
      <c r="K88" s="37"/>
      <c r="L88" s="37"/>
      <c r="M88" s="37"/>
    </row>
    <row r="89" spans="1:13">
      <c r="A89" s="2"/>
      <c r="B89" s="26"/>
      <c r="C89" s="43"/>
      <c r="D89" s="33"/>
      <c r="J89" s="37"/>
      <c r="K89" s="37"/>
      <c r="L89" s="37"/>
      <c r="M89" s="37"/>
    </row>
    <row r="90" spans="1:13">
      <c r="A90" s="2"/>
      <c r="B90" s="26"/>
      <c r="C90" s="43"/>
      <c r="D90" s="33"/>
      <c r="J90" s="37"/>
      <c r="K90" s="37"/>
      <c r="L90" s="37"/>
      <c r="M90" s="37"/>
    </row>
    <row r="91" spans="1:13">
      <c r="A91" s="2"/>
      <c r="B91" s="26"/>
      <c r="C91" s="43"/>
      <c r="D91" s="33"/>
      <c r="J91" s="37"/>
      <c r="K91" s="37"/>
      <c r="L91" s="37"/>
      <c r="M91" s="37"/>
    </row>
    <row r="92" spans="1:13">
      <c r="A92" s="2"/>
      <c r="B92" s="26"/>
      <c r="C92" s="43"/>
      <c r="D92" s="33"/>
      <c r="J92" s="37"/>
      <c r="K92" s="37"/>
      <c r="L92" s="37"/>
      <c r="M92" s="37"/>
    </row>
    <row r="93" spans="1:13">
      <c r="A93" s="2"/>
      <c r="B93" s="26"/>
      <c r="C93" s="43"/>
      <c r="D93" s="33"/>
      <c r="J93" s="37"/>
      <c r="K93" s="37"/>
      <c r="L93" s="37"/>
      <c r="M93" s="37"/>
    </row>
    <row r="94" spans="1:13">
      <c r="A94" s="2"/>
      <c r="B94" s="26"/>
      <c r="C94" s="43"/>
      <c r="D94" s="33"/>
      <c r="J94" s="37"/>
      <c r="K94" s="37"/>
      <c r="L94" s="37"/>
      <c r="M94" s="37"/>
    </row>
    <row r="95" spans="1:13">
      <c r="A95" s="2"/>
      <c r="B95" s="26"/>
      <c r="C95" s="43"/>
      <c r="D95" s="33"/>
      <c r="J95" s="37"/>
      <c r="K95" s="37"/>
      <c r="L95" s="37"/>
      <c r="M95" s="37"/>
    </row>
    <row r="96" spans="1:13">
      <c r="A96" s="2"/>
      <c r="B96" s="26"/>
      <c r="C96" s="43"/>
      <c r="D96" s="33"/>
      <c r="J96" s="37"/>
      <c r="K96" s="37"/>
      <c r="L96" s="37"/>
      <c r="M96" s="37"/>
    </row>
    <row r="97" spans="1:13">
      <c r="A97" s="2"/>
      <c r="B97" s="26"/>
      <c r="C97" s="43"/>
      <c r="D97" s="33"/>
      <c r="J97" s="37"/>
      <c r="K97" s="37"/>
      <c r="L97" s="37"/>
      <c r="M97" s="37"/>
    </row>
    <row r="98" spans="1:13">
      <c r="A98" s="2"/>
      <c r="B98" s="26"/>
      <c r="C98" s="43"/>
      <c r="D98" s="33"/>
      <c r="J98" s="37"/>
      <c r="K98" s="37"/>
      <c r="L98" s="37"/>
      <c r="M98" s="37"/>
    </row>
    <row r="99" spans="1:13">
      <c r="A99" s="2"/>
      <c r="B99" s="26"/>
      <c r="C99" s="43"/>
      <c r="D99" s="33"/>
      <c r="J99" s="37"/>
      <c r="K99" s="37"/>
      <c r="L99" s="37"/>
      <c r="M99" s="37"/>
    </row>
    <row r="100" spans="1:13">
      <c r="A100" s="2"/>
      <c r="B100" s="26"/>
      <c r="C100" s="43"/>
      <c r="D100" s="33"/>
      <c r="J100" s="37"/>
      <c r="K100" s="37"/>
      <c r="L100" s="37"/>
      <c r="M100" s="37"/>
    </row>
    <row r="101" spans="1:13">
      <c r="A101" s="2"/>
      <c r="B101" s="26"/>
      <c r="C101" s="43"/>
      <c r="D101" s="33"/>
      <c r="J101" s="37"/>
      <c r="K101" s="37"/>
      <c r="L101" s="37"/>
      <c r="M101" s="37"/>
    </row>
    <row r="102" spans="1:13">
      <c r="A102" s="2"/>
      <c r="B102" s="26"/>
      <c r="C102" s="43"/>
      <c r="D102" s="33"/>
      <c r="J102" s="37"/>
      <c r="K102" s="37"/>
      <c r="L102" s="37"/>
      <c r="M102" s="37"/>
    </row>
    <row r="103" spans="1:13">
      <c r="A103" s="2"/>
      <c r="B103" s="26"/>
      <c r="C103" s="43"/>
      <c r="D103" s="33"/>
      <c r="J103" s="37"/>
      <c r="K103" s="37"/>
      <c r="L103" s="37"/>
      <c r="M103" s="37"/>
    </row>
    <row r="104" spans="1:13">
      <c r="A104" s="2"/>
      <c r="B104" s="26"/>
      <c r="C104" s="43"/>
      <c r="D104" s="33"/>
      <c r="J104" s="37"/>
      <c r="K104" s="37"/>
      <c r="L104" s="37"/>
      <c r="M104" s="37"/>
    </row>
    <row r="105" spans="1:13">
      <c r="A105" s="2"/>
      <c r="B105" s="26"/>
      <c r="C105" s="43"/>
      <c r="D105" s="33"/>
      <c r="J105" s="37"/>
      <c r="K105" s="37"/>
      <c r="L105" s="37"/>
      <c r="M105" s="37"/>
    </row>
    <row r="106" spans="1:13">
      <c r="A106" s="2"/>
      <c r="B106" s="26"/>
      <c r="C106" s="43"/>
      <c r="D106" s="33"/>
      <c r="J106" s="37"/>
      <c r="K106" s="37"/>
      <c r="L106" s="37"/>
      <c r="M106" s="37"/>
    </row>
    <row r="107" spans="1:13">
      <c r="A107" s="2"/>
      <c r="B107" s="26"/>
      <c r="C107" s="43"/>
      <c r="D107" s="33"/>
      <c r="J107" s="37"/>
      <c r="K107" s="37"/>
      <c r="L107" s="37"/>
      <c r="M107" s="37"/>
    </row>
    <row r="108" spans="1:13">
      <c r="A108" s="2"/>
      <c r="B108" s="26"/>
      <c r="C108" s="43"/>
      <c r="D108" s="33"/>
      <c r="J108" s="37"/>
      <c r="K108" s="37"/>
      <c r="L108" s="37"/>
      <c r="M108" s="37"/>
    </row>
    <row r="109" spans="1:13">
      <c r="A109" s="2"/>
      <c r="B109" s="26"/>
      <c r="C109" s="43"/>
      <c r="D109" s="33"/>
      <c r="J109" s="37"/>
      <c r="K109" s="37"/>
      <c r="L109" s="37"/>
      <c r="M109" s="37"/>
    </row>
    <row r="110" spans="1:13">
      <c r="A110" s="2"/>
      <c r="B110" s="26"/>
      <c r="C110" s="43"/>
      <c r="D110" s="33"/>
      <c r="J110" s="37"/>
      <c r="K110" s="37"/>
      <c r="L110" s="37"/>
      <c r="M110" s="37"/>
    </row>
    <row r="111" spans="1:13">
      <c r="A111" s="2"/>
      <c r="B111" s="26"/>
      <c r="C111" s="43"/>
      <c r="D111" s="33"/>
      <c r="J111" s="37"/>
      <c r="K111" s="37"/>
      <c r="L111" s="37"/>
      <c r="M111" s="37"/>
    </row>
    <row r="112" spans="1:13">
      <c r="A112" s="2"/>
      <c r="B112" s="26"/>
      <c r="C112" s="43"/>
      <c r="D112" s="33"/>
      <c r="J112" s="37"/>
      <c r="K112" s="37"/>
      <c r="L112" s="37"/>
      <c r="M112" s="37"/>
    </row>
    <row r="113" spans="1:13">
      <c r="A113" s="2"/>
      <c r="B113" s="26"/>
      <c r="C113" s="43"/>
      <c r="D113" s="33"/>
      <c r="J113" s="37"/>
      <c r="K113" s="37"/>
      <c r="L113" s="37"/>
      <c r="M113" s="37"/>
    </row>
    <row r="114" spans="1:13">
      <c r="A114" s="2"/>
      <c r="B114" s="26"/>
      <c r="C114" s="43"/>
      <c r="D114" s="33"/>
      <c r="J114" s="37"/>
      <c r="K114" s="37"/>
      <c r="L114" s="37"/>
      <c r="M114" s="37"/>
    </row>
    <row r="115" spans="1:13">
      <c r="A115" s="2"/>
      <c r="B115" s="26"/>
      <c r="C115" s="43"/>
      <c r="D115" s="33"/>
      <c r="J115" s="37"/>
      <c r="K115" s="37"/>
      <c r="L115" s="37"/>
      <c r="M115" s="37"/>
    </row>
    <row r="116" spans="1:13">
      <c r="A116" s="2"/>
      <c r="B116" s="26"/>
      <c r="C116" s="43"/>
      <c r="D116" s="33"/>
      <c r="J116" s="37"/>
      <c r="K116" s="37"/>
      <c r="L116" s="37"/>
      <c r="M116" s="37"/>
    </row>
    <row r="117" spans="1:13">
      <c r="A117" s="2"/>
      <c r="B117" s="26"/>
      <c r="C117" s="43"/>
      <c r="D117" s="33"/>
      <c r="J117" s="37"/>
      <c r="K117" s="37"/>
      <c r="L117" s="37"/>
      <c r="M117" s="37"/>
    </row>
    <row r="118" spans="1:13">
      <c r="A118" s="2"/>
      <c r="B118" s="26"/>
      <c r="C118" s="43"/>
      <c r="D118" s="33"/>
      <c r="J118" s="37"/>
      <c r="K118" s="37"/>
      <c r="L118" s="37"/>
      <c r="M118" s="37"/>
    </row>
    <row r="119" spans="1:13">
      <c r="A119" s="2"/>
      <c r="B119" s="26"/>
      <c r="C119" s="43"/>
      <c r="D119" s="33"/>
      <c r="J119" s="37"/>
      <c r="K119" s="37"/>
      <c r="L119" s="37"/>
      <c r="M119" s="37"/>
    </row>
    <row r="120" spans="1:13">
      <c r="A120" s="2"/>
      <c r="B120" s="26"/>
      <c r="C120" s="43"/>
      <c r="D120" s="33"/>
      <c r="J120" s="37"/>
      <c r="K120" s="37"/>
      <c r="L120" s="37"/>
      <c r="M120" s="37"/>
    </row>
    <row r="121" spans="1:13">
      <c r="A121" s="2"/>
      <c r="B121" s="26"/>
      <c r="C121" s="43"/>
      <c r="D121" s="33"/>
      <c r="J121" s="37"/>
      <c r="K121" s="37"/>
      <c r="L121" s="37"/>
      <c r="M121" s="37"/>
    </row>
    <row r="122" spans="1:13">
      <c r="A122" s="2"/>
      <c r="B122" s="26"/>
      <c r="C122" s="43"/>
      <c r="D122" s="33"/>
      <c r="J122" s="37"/>
      <c r="K122" s="37"/>
      <c r="L122" s="37"/>
      <c r="M122" s="37"/>
    </row>
    <row r="123" spans="1:13">
      <c r="A123" s="2"/>
      <c r="B123" s="26"/>
      <c r="C123" s="43"/>
      <c r="D123" s="33"/>
      <c r="J123" s="37"/>
      <c r="K123" s="37"/>
      <c r="L123" s="37"/>
      <c r="M123" s="37"/>
    </row>
    <row r="124" spans="1:13">
      <c r="A124" s="2"/>
      <c r="B124" s="26"/>
      <c r="C124" s="43"/>
      <c r="D124" s="33"/>
      <c r="J124" s="37"/>
      <c r="K124" s="37"/>
      <c r="L124" s="37"/>
      <c r="M124" s="37"/>
    </row>
    <row r="125" spans="1:13">
      <c r="A125" s="2"/>
      <c r="B125" s="26"/>
      <c r="C125" s="43"/>
      <c r="D125" s="33"/>
      <c r="J125" s="37"/>
      <c r="K125" s="37"/>
      <c r="L125" s="37"/>
      <c r="M125" s="37"/>
    </row>
    <row r="126" spans="1:13">
      <c r="A126" s="2"/>
      <c r="B126" s="26"/>
      <c r="C126" s="43"/>
      <c r="D126" s="33"/>
      <c r="J126" s="37"/>
      <c r="K126" s="37"/>
      <c r="L126" s="37"/>
      <c r="M126" s="37"/>
    </row>
    <row r="127" spans="1:13">
      <c r="A127" s="2"/>
      <c r="B127" s="26"/>
      <c r="C127" s="43"/>
      <c r="D127" s="33"/>
      <c r="J127" s="37"/>
      <c r="K127" s="37"/>
      <c r="L127" s="37"/>
      <c r="M127" s="37"/>
    </row>
    <row r="128" spans="1:13">
      <c r="A128" s="2"/>
      <c r="B128" s="26"/>
      <c r="C128" s="43"/>
      <c r="D128" s="33"/>
      <c r="J128" s="37"/>
      <c r="K128" s="37"/>
      <c r="L128" s="37"/>
      <c r="M128" s="37"/>
    </row>
    <row r="129" spans="1:13">
      <c r="A129" s="2"/>
      <c r="B129" s="26"/>
      <c r="C129" s="43"/>
      <c r="D129" s="33"/>
      <c r="J129" s="37"/>
      <c r="K129" s="37"/>
      <c r="L129" s="37"/>
      <c r="M129" s="37"/>
    </row>
    <row r="130" spans="1:13">
      <c r="A130" s="2"/>
      <c r="B130" s="26"/>
      <c r="C130" s="43"/>
      <c r="D130" s="33"/>
      <c r="J130" s="37"/>
      <c r="K130" s="37"/>
      <c r="L130" s="37"/>
      <c r="M130" s="37"/>
    </row>
    <row r="131" spans="1:13">
      <c r="A131" s="2"/>
      <c r="B131" s="26"/>
      <c r="C131" s="43"/>
      <c r="D131" s="33"/>
      <c r="J131" s="37"/>
      <c r="K131" s="37"/>
      <c r="L131" s="37"/>
      <c r="M131" s="37"/>
    </row>
    <row r="132" spans="1:13">
      <c r="A132" s="2"/>
      <c r="B132" s="26"/>
      <c r="C132" s="43"/>
      <c r="D132" s="33"/>
      <c r="J132" s="37"/>
      <c r="K132" s="37"/>
      <c r="L132" s="37"/>
      <c r="M132" s="37"/>
    </row>
    <row r="133" spans="1:13">
      <c r="A133" s="2"/>
      <c r="B133" s="26"/>
      <c r="C133" s="43"/>
      <c r="D133" s="33"/>
      <c r="J133" s="37"/>
      <c r="K133" s="37"/>
      <c r="L133" s="37"/>
      <c r="M133" s="37"/>
    </row>
    <row r="134" spans="1:13">
      <c r="A134" s="2"/>
      <c r="B134" s="26"/>
      <c r="C134" s="43"/>
      <c r="D134" s="33"/>
      <c r="J134" s="37"/>
      <c r="K134" s="37"/>
      <c r="L134" s="37"/>
      <c r="M134" s="37"/>
    </row>
    <row r="135" spans="1:13">
      <c r="A135" s="2"/>
      <c r="B135" s="26"/>
      <c r="C135" s="43"/>
      <c r="D135" s="33"/>
      <c r="J135" s="37"/>
      <c r="K135" s="37"/>
      <c r="L135" s="37"/>
      <c r="M135" s="37"/>
    </row>
    <row r="136" spans="1:13">
      <c r="A136" s="2"/>
      <c r="B136" s="26"/>
      <c r="C136" s="43"/>
      <c r="D136" s="33"/>
      <c r="J136" s="37"/>
      <c r="K136" s="37"/>
      <c r="L136" s="37"/>
      <c r="M136" s="37"/>
    </row>
    <row r="137" spans="1:13">
      <c r="A137" s="2"/>
      <c r="B137" s="26"/>
      <c r="C137" s="43"/>
      <c r="D137" s="33"/>
      <c r="J137" s="37"/>
      <c r="K137" s="37"/>
      <c r="L137" s="37"/>
      <c r="M137" s="37"/>
    </row>
    <row r="138" spans="1:13">
      <c r="A138" s="2"/>
      <c r="B138" s="26"/>
      <c r="C138" s="43"/>
      <c r="D138" s="33"/>
      <c r="J138" s="37"/>
      <c r="K138" s="37"/>
      <c r="L138" s="37"/>
      <c r="M138" s="37"/>
    </row>
    <row r="139" spans="1:13">
      <c r="A139" s="2"/>
      <c r="B139" s="26"/>
      <c r="C139" s="43"/>
      <c r="D139" s="33"/>
      <c r="J139" s="37"/>
      <c r="K139" s="37"/>
      <c r="L139" s="37"/>
      <c r="M139" s="37"/>
    </row>
    <row r="140" spans="1:13">
      <c r="A140" s="2"/>
      <c r="B140" s="26"/>
      <c r="C140" s="43"/>
      <c r="D140" s="33"/>
      <c r="J140" s="37"/>
      <c r="K140" s="37"/>
      <c r="L140" s="37"/>
      <c r="M140" s="37"/>
    </row>
    <row r="141" spans="1:13">
      <c r="A141" s="2"/>
      <c r="B141" s="26"/>
      <c r="C141" s="43"/>
      <c r="D141" s="33"/>
      <c r="J141" s="37"/>
      <c r="K141" s="37"/>
      <c r="L141" s="37"/>
      <c r="M141" s="37"/>
    </row>
    <row r="142" spans="1:13">
      <c r="A142" s="2"/>
      <c r="B142" s="26"/>
      <c r="C142" s="43"/>
      <c r="D142" s="33"/>
      <c r="J142" s="37"/>
      <c r="K142" s="37"/>
      <c r="L142" s="37"/>
      <c r="M142" s="37"/>
    </row>
    <row r="143" spans="1:13">
      <c r="A143" s="2"/>
      <c r="B143" s="26"/>
      <c r="C143" s="43"/>
      <c r="D143" s="33"/>
      <c r="J143" s="37"/>
      <c r="K143" s="37"/>
      <c r="L143" s="37"/>
      <c r="M143" s="37"/>
    </row>
    <row r="144" spans="1:13">
      <c r="A144" s="2"/>
      <c r="B144" s="26"/>
      <c r="C144" s="43"/>
      <c r="D144" s="33"/>
      <c r="J144" s="37"/>
      <c r="K144" s="37"/>
      <c r="L144" s="37"/>
      <c r="M144" s="37"/>
    </row>
    <row r="145" spans="1:13">
      <c r="A145" s="2"/>
      <c r="B145" s="26"/>
      <c r="C145" s="43"/>
      <c r="D145" s="33"/>
      <c r="J145" s="37"/>
      <c r="K145" s="37"/>
      <c r="L145" s="37"/>
      <c r="M145" s="37"/>
    </row>
    <row r="146" spans="1:13">
      <c r="A146" s="2"/>
      <c r="B146" s="26"/>
      <c r="C146" s="43"/>
      <c r="D146" s="33"/>
      <c r="J146" s="37"/>
      <c r="K146" s="37"/>
      <c r="L146" s="37"/>
      <c r="M146" s="37"/>
    </row>
    <row r="147" spans="1:13">
      <c r="A147" s="2"/>
      <c r="B147" s="26"/>
      <c r="C147" s="43"/>
      <c r="D147" s="33"/>
      <c r="J147" s="37"/>
      <c r="K147" s="37"/>
      <c r="L147" s="37"/>
      <c r="M147" s="37"/>
    </row>
    <row r="148" spans="1:13">
      <c r="A148" s="2"/>
      <c r="B148" s="26"/>
      <c r="C148" s="43"/>
      <c r="D148" s="33"/>
      <c r="J148" s="37"/>
      <c r="K148" s="37"/>
      <c r="L148" s="37"/>
      <c r="M148" s="37"/>
    </row>
    <row r="149" spans="1:13">
      <c r="A149" s="2"/>
      <c r="B149" s="26"/>
      <c r="C149" s="43"/>
      <c r="D149" s="33"/>
      <c r="J149" s="37"/>
      <c r="K149" s="37"/>
      <c r="L149" s="37"/>
      <c r="M149" s="37"/>
    </row>
    <row r="150" spans="1:13">
      <c r="A150" s="2"/>
      <c r="B150" s="26"/>
      <c r="C150" s="43"/>
      <c r="D150" s="33"/>
      <c r="J150" s="37"/>
      <c r="K150" s="37"/>
      <c r="L150" s="37"/>
      <c r="M150" s="37"/>
    </row>
    <row r="151" spans="1:13">
      <c r="A151" s="2"/>
      <c r="B151" s="26"/>
      <c r="C151" s="43"/>
      <c r="D151" s="33"/>
      <c r="J151" s="37"/>
      <c r="K151" s="37"/>
      <c r="L151" s="37"/>
      <c r="M151" s="37"/>
    </row>
    <row r="152" spans="1:13">
      <c r="A152" s="2"/>
      <c r="B152" s="26"/>
      <c r="C152" s="43"/>
      <c r="D152" s="33"/>
      <c r="J152" s="37"/>
      <c r="K152" s="37"/>
      <c r="L152" s="37"/>
      <c r="M152" s="37"/>
    </row>
    <row r="153" spans="1:13">
      <c r="A153" s="2"/>
      <c r="B153" s="26"/>
      <c r="C153" s="43"/>
      <c r="D153" s="33"/>
      <c r="J153" s="37"/>
      <c r="K153" s="37"/>
      <c r="L153" s="37"/>
      <c r="M153" s="37"/>
    </row>
    <row r="154" spans="1:13">
      <c r="A154" s="2"/>
      <c r="B154" s="26"/>
      <c r="C154" s="43"/>
      <c r="D154" s="33"/>
      <c r="J154" s="37"/>
      <c r="K154" s="37"/>
      <c r="L154" s="37"/>
      <c r="M154" s="37"/>
    </row>
    <row r="155" spans="1:13">
      <c r="A155" s="2"/>
      <c r="B155" s="26"/>
      <c r="C155" s="43"/>
      <c r="D155" s="33"/>
      <c r="J155" s="37"/>
      <c r="K155" s="37"/>
      <c r="L155" s="37"/>
      <c r="M155" s="37"/>
    </row>
    <row r="156" spans="1:13">
      <c r="A156" s="2"/>
      <c r="B156" s="26"/>
      <c r="C156" s="43"/>
      <c r="D156" s="33"/>
      <c r="J156" s="37"/>
      <c r="K156" s="37"/>
      <c r="L156" s="37"/>
      <c r="M156" s="37"/>
    </row>
    <row r="157" spans="1:13">
      <c r="A157" s="2"/>
      <c r="B157" s="26"/>
      <c r="C157" s="43"/>
      <c r="D157" s="33"/>
      <c r="J157" s="37"/>
      <c r="K157" s="37"/>
      <c r="L157" s="37"/>
      <c r="M157" s="37"/>
    </row>
    <row r="158" spans="1:13">
      <c r="A158" s="2"/>
      <c r="B158" s="26"/>
      <c r="C158" s="43"/>
      <c r="D158" s="33"/>
      <c r="J158" s="37"/>
      <c r="K158" s="37"/>
      <c r="L158" s="37"/>
      <c r="M158" s="37"/>
    </row>
    <row r="159" spans="1:13">
      <c r="A159" s="2"/>
      <c r="B159" s="26"/>
      <c r="C159" s="43"/>
      <c r="D159" s="33"/>
      <c r="J159" s="37"/>
      <c r="K159" s="37"/>
      <c r="L159" s="37"/>
      <c r="M159" s="37"/>
    </row>
    <row r="160" spans="1:13">
      <c r="A160" s="2"/>
      <c r="B160" s="26"/>
      <c r="C160" s="43"/>
      <c r="D160" s="33"/>
      <c r="J160" s="37"/>
      <c r="K160" s="37"/>
      <c r="L160" s="37"/>
      <c r="M160" s="37"/>
    </row>
    <row r="161" spans="1:13">
      <c r="A161" s="2"/>
      <c r="B161" s="26"/>
      <c r="C161" s="43"/>
      <c r="D161" s="33"/>
      <c r="J161" s="37"/>
      <c r="K161" s="37"/>
      <c r="L161" s="37"/>
      <c r="M161" s="37"/>
    </row>
    <row r="162" spans="1:13">
      <c r="A162" s="2"/>
      <c r="B162" s="26"/>
      <c r="C162" s="43"/>
      <c r="D162" s="33"/>
      <c r="J162" s="37"/>
      <c r="K162" s="37"/>
      <c r="L162" s="37"/>
      <c r="M162" s="37"/>
    </row>
    <row r="163" spans="1:13">
      <c r="A163" s="2"/>
      <c r="B163" s="26"/>
      <c r="C163" s="43"/>
      <c r="D163" s="33"/>
      <c r="J163" s="37"/>
      <c r="K163" s="37"/>
      <c r="L163" s="37"/>
      <c r="M163" s="37"/>
    </row>
    <row r="164" spans="1:13">
      <c r="A164" s="2"/>
      <c r="B164" s="26"/>
      <c r="C164" s="43"/>
      <c r="D164" s="33"/>
      <c r="J164" s="37"/>
      <c r="K164" s="37"/>
      <c r="L164" s="37"/>
      <c r="M164" s="37"/>
    </row>
    <row r="165" spans="1:13">
      <c r="A165" s="2"/>
      <c r="B165" s="26"/>
      <c r="C165" s="43"/>
      <c r="D165" s="33"/>
      <c r="J165" s="37"/>
      <c r="K165" s="37"/>
      <c r="L165" s="37"/>
      <c r="M165" s="37"/>
    </row>
    <row r="166" spans="1:13">
      <c r="A166" s="2"/>
      <c r="B166" s="26"/>
      <c r="C166" s="43"/>
      <c r="D166" s="33"/>
      <c r="J166" s="37"/>
      <c r="K166" s="37"/>
      <c r="L166" s="37"/>
      <c r="M166" s="37"/>
    </row>
    <row r="167" spans="1:13">
      <c r="A167" s="2"/>
      <c r="B167" s="26"/>
      <c r="C167" s="43"/>
      <c r="D167" s="33"/>
      <c r="J167" s="37"/>
      <c r="K167" s="37"/>
      <c r="L167" s="37"/>
      <c r="M167" s="37"/>
    </row>
    <row r="168" spans="1:13">
      <c r="A168" s="2"/>
      <c r="B168" s="26"/>
      <c r="C168" s="43"/>
      <c r="D168" s="33"/>
      <c r="J168" s="37"/>
      <c r="K168" s="37"/>
      <c r="L168" s="37"/>
      <c r="M168" s="37"/>
    </row>
    <row r="169" spans="1:13">
      <c r="A169" s="2"/>
      <c r="B169" s="26"/>
      <c r="C169" s="43"/>
      <c r="D169" s="33"/>
      <c r="J169" s="37"/>
      <c r="K169" s="37"/>
      <c r="L169" s="37"/>
      <c r="M169" s="37"/>
    </row>
    <row r="170" spans="1:13">
      <c r="A170" s="2"/>
      <c r="B170" s="26"/>
      <c r="C170" s="43"/>
      <c r="D170" s="33"/>
      <c r="J170" s="37"/>
      <c r="K170" s="37"/>
      <c r="L170" s="37"/>
      <c r="M170" s="37"/>
    </row>
    <row r="171" spans="1:13">
      <c r="A171" s="2"/>
      <c r="B171" s="26"/>
      <c r="C171" s="43"/>
      <c r="D171" s="33"/>
      <c r="J171" s="37"/>
      <c r="K171" s="37"/>
      <c r="L171" s="37"/>
      <c r="M171" s="37"/>
    </row>
    <row r="172" spans="1:13">
      <c r="A172" s="2"/>
      <c r="B172" s="26"/>
      <c r="C172" s="43"/>
      <c r="D172" s="33"/>
      <c r="J172" s="37"/>
      <c r="K172" s="37"/>
      <c r="L172" s="37"/>
      <c r="M172" s="37"/>
    </row>
    <row r="173" spans="1:13">
      <c r="A173" s="2"/>
      <c r="B173" s="26"/>
      <c r="C173" s="43"/>
      <c r="D173" s="33"/>
      <c r="J173" s="37"/>
      <c r="K173" s="37"/>
      <c r="L173" s="37"/>
      <c r="M173" s="37"/>
    </row>
    <row r="174" spans="1:13">
      <c r="A174" s="2"/>
      <c r="B174" s="26"/>
      <c r="C174" s="43"/>
      <c r="D174" s="33"/>
      <c r="J174" s="37"/>
      <c r="K174" s="37"/>
      <c r="L174" s="37"/>
      <c r="M174" s="37"/>
    </row>
    <row r="175" spans="1:13">
      <c r="A175" s="2"/>
      <c r="B175" s="26"/>
      <c r="C175" s="43"/>
      <c r="D175" s="33"/>
      <c r="J175" s="37"/>
      <c r="K175" s="37"/>
      <c r="L175" s="37"/>
      <c r="M175" s="37"/>
    </row>
    <row r="176" spans="1:13">
      <c r="A176" s="2"/>
      <c r="B176" s="26"/>
      <c r="C176" s="43"/>
      <c r="D176" s="33"/>
      <c r="J176" s="37"/>
      <c r="K176" s="37"/>
      <c r="L176" s="37"/>
      <c r="M176" s="37"/>
    </row>
    <row r="177" spans="1:13">
      <c r="A177" s="2"/>
      <c r="B177" s="26"/>
      <c r="C177" s="43"/>
      <c r="D177" s="33"/>
      <c r="J177" s="37"/>
      <c r="K177" s="37"/>
      <c r="L177" s="37"/>
      <c r="M177" s="37"/>
    </row>
    <row r="178" spans="1:13">
      <c r="A178" s="2"/>
      <c r="B178" s="26"/>
      <c r="C178" s="43"/>
      <c r="D178" s="33"/>
      <c r="J178" s="37"/>
      <c r="K178" s="37"/>
      <c r="L178" s="37"/>
      <c r="M178" s="37"/>
    </row>
    <row r="179" spans="1:13">
      <c r="A179" s="2"/>
      <c r="B179" s="26"/>
      <c r="C179" s="43"/>
      <c r="D179" s="33"/>
      <c r="J179" s="37"/>
      <c r="K179" s="37"/>
      <c r="L179" s="37"/>
      <c r="M179" s="37"/>
    </row>
    <row r="180" spans="1:13">
      <c r="A180" s="2"/>
      <c r="B180" s="26"/>
      <c r="C180" s="43"/>
      <c r="D180" s="33"/>
      <c r="J180" s="37"/>
      <c r="K180" s="37"/>
      <c r="L180" s="37"/>
      <c r="M180" s="37"/>
    </row>
    <row r="181" spans="1:13">
      <c r="A181" s="2"/>
      <c r="B181" s="26"/>
      <c r="C181" s="43"/>
      <c r="D181" s="33"/>
      <c r="J181" s="37"/>
      <c r="K181" s="37"/>
      <c r="L181" s="37"/>
      <c r="M181" s="37"/>
    </row>
    <row r="182" spans="1:13">
      <c r="A182" s="2"/>
      <c r="B182" s="26"/>
      <c r="C182" s="43"/>
      <c r="D182" s="33"/>
      <c r="J182" s="37"/>
      <c r="K182" s="37"/>
      <c r="L182" s="37"/>
      <c r="M182" s="37"/>
    </row>
    <row r="183" spans="1:13">
      <c r="A183" s="2"/>
      <c r="B183" s="26"/>
      <c r="C183" s="43"/>
      <c r="D183" s="33"/>
      <c r="J183" s="37"/>
      <c r="K183" s="37"/>
      <c r="L183" s="37"/>
      <c r="M183" s="37"/>
    </row>
    <row r="184" spans="1:13">
      <c r="A184" s="2"/>
      <c r="B184" s="26"/>
      <c r="C184" s="43"/>
      <c r="D184" s="33"/>
      <c r="J184" s="37"/>
      <c r="K184" s="37"/>
      <c r="L184" s="37"/>
      <c r="M184" s="37"/>
    </row>
    <row r="185" spans="1:13">
      <c r="A185" s="2"/>
      <c r="B185" s="26"/>
      <c r="C185" s="43"/>
      <c r="D185" s="33"/>
      <c r="J185" s="37"/>
      <c r="K185" s="37"/>
      <c r="L185" s="37"/>
      <c r="M185" s="37"/>
    </row>
    <row r="186" spans="1:13">
      <c r="A186" s="2"/>
      <c r="B186" s="26"/>
      <c r="C186" s="43"/>
      <c r="D186" s="33"/>
      <c r="J186" s="37"/>
      <c r="K186" s="37"/>
      <c r="L186" s="37"/>
      <c r="M186" s="37"/>
    </row>
    <row r="187" spans="1:13">
      <c r="A187" s="2"/>
      <c r="B187" s="26"/>
      <c r="C187" s="43"/>
      <c r="D187" s="33"/>
      <c r="J187" s="37"/>
      <c r="K187" s="37"/>
      <c r="L187" s="37"/>
      <c r="M187" s="37"/>
    </row>
    <row r="188" spans="1:13">
      <c r="A188" s="2"/>
      <c r="B188" s="26"/>
      <c r="C188" s="43"/>
      <c r="D188" s="33"/>
      <c r="J188" s="37"/>
      <c r="K188" s="37"/>
      <c r="L188" s="37"/>
      <c r="M188" s="37"/>
    </row>
    <row r="189" spans="1:13">
      <c r="A189" s="2"/>
      <c r="B189" s="26"/>
      <c r="C189" s="43"/>
      <c r="D189" s="33"/>
      <c r="J189" s="37"/>
      <c r="K189" s="37"/>
      <c r="L189" s="37"/>
      <c r="M189" s="37"/>
    </row>
    <row r="190" spans="1:13">
      <c r="A190" s="2"/>
      <c r="B190" s="26"/>
      <c r="C190" s="43"/>
      <c r="D190" s="33"/>
      <c r="J190" s="37"/>
      <c r="K190" s="37"/>
      <c r="L190" s="37"/>
      <c r="M190" s="37"/>
    </row>
    <row r="191" spans="1:13">
      <c r="A191" s="2"/>
      <c r="B191" s="26"/>
      <c r="C191" s="43"/>
      <c r="D191" s="33"/>
      <c r="J191" s="37"/>
      <c r="K191" s="37"/>
      <c r="L191" s="37"/>
      <c r="M191" s="37"/>
    </row>
    <row r="192" spans="1:13">
      <c r="A192" s="2"/>
      <c r="B192" s="26"/>
      <c r="C192" s="43"/>
      <c r="D192" s="33"/>
      <c r="J192" s="37"/>
      <c r="K192" s="37"/>
      <c r="L192" s="37"/>
      <c r="M192" s="37"/>
    </row>
    <row r="193" spans="1:13">
      <c r="A193" s="2"/>
      <c r="B193" s="26"/>
      <c r="C193" s="43"/>
      <c r="D193" s="33"/>
      <c r="J193" s="37"/>
      <c r="K193" s="37"/>
      <c r="L193" s="37"/>
      <c r="M193" s="37"/>
    </row>
    <row r="194" spans="1:13">
      <c r="A194" s="2"/>
      <c r="B194" s="26"/>
      <c r="C194" s="43"/>
      <c r="D194" s="33"/>
      <c r="J194" s="37"/>
      <c r="K194" s="37"/>
      <c r="L194" s="37"/>
      <c r="M194" s="37"/>
    </row>
    <row r="195" spans="1:13">
      <c r="A195" s="2"/>
      <c r="B195" s="26"/>
      <c r="C195" s="43"/>
      <c r="D195" s="33"/>
      <c r="J195" s="37"/>
      <c r="K195" s="37"/>
      <c r="L195" s="37"/>
      <c r="M195" s="37"/>
    </row>
    <row r="196" spans="1:13">
      <c r="A196" s="2"/>
      <c r="B196" s="26"/>
      <c r="C196" s="43"/>
      <c r="D196" s="33"/>
      <c r="J196" s="37"/>
      <c r="K196" s="37"/>
      <c r="L196" s="37"/>
      <c r="M196" s="37"/>
    </row>
    <row r="197" spans="1:13">
      <c r="A197" s="2"/>
      <c r="B197" s="26"/>
      <c r="C197" s="43"/>
      <c r="D197" s="33"/>
      <c r="J197" s="37"/>
      <c r="K197" s="37"/>
      <c r="L197" s="37"/>
      <c r="M197" s="37"/>
    </row>
    <row r="198" spans="1:13">
      <c r="A198" s="2"/>
      <c r="B198" s="26"/>
      <c r="C198" s="43"/>
      <c r="D198" s="33"/>
      <c r="J198" s="37"/>
      <c r="K198" s="37"/>
      <c r="L198" s="37"/>
      <c r="M198" s="37"/>
    </row>
    <row r="199" spans="1:13">
      <c r="A199" s="2"/>
      <c r="B199" s="26"/>
      <c r="C199" s="43"/>
      <c r="D199" s="33"/>
      <c r="J199" s="37"/>
      <c r="K199" s="37"/>
      <c r="L199" s="37"/>
      <c r="M199" s="37"/>
    </row>
    <row r="200" spans="1:13">
      <c r="A200" s="2"/>
      <c r="B200" s="26"/>
      <c r="C200" s="43"/>
      <c r="D200" s="33"/>
      <c r="J200" s="37"/>
      <c r="K200" s="37"/>
      <c r="L200" s="37"/>
      <c r="M200" s="37"/>
    </row>
    <row r="201" spans="1:13">
      <c r="A201" s="2"/>
      <c r="B201" s="26"/>
      <c r="C201" s="43"/>
      <c r="D201" s="33"/>
      <c r="J201" s="37"/>
      <c r="K201" s="37"/>
      <c r="L201" s="37"/>
      <c r="M201" s="37"/>
    </row>
    <row r="202" spans="1:13">
      <c r="A202" s="2"/>
      <c r="B202" s="26"/>
      <c r="C202" s="43"/>
      <c r="D202" s="33"/>
      <c r="J202" s="37"/>
      <c r="K202" s="37"/>
      <c r="L202" s="37"/>
      <c r="M202" s="37"/>
    </row>
    <row r="203" spans="1:13">
      <c r="A203" s="2"/>
      <c r="B203" s="26"/>
      <c r="C203" s="43"/>
      <c r="D203" s="33"/>
      <c r="J203" s="37"/>
      <c r="K203" s="37"/>
      <c r="L203" s="37"/>
      <c r="M203" s="37"/>
    </row>
    <row r="204" spans="1:13">
      <c r="A204" s="2"/>
      <c r="B204" s="26"/>
      <c r="C204" s="43"/>
      <c r="D204" s="33"/>
      <c r="J204" s="37"/>
      <c r="K204" s="37"/>
      <c r="L204" s="37"/>
      <c r="M204" s="37"/>
    </row>
    <row r="205" spans="1:13">
      <c r="A205" s="2"/>
      <c r="B205" s="26"/>
      <c r="C205" s="43"/>
      <c r="D205" s="33"/>
      <c r="J205" s="37"/>
      <c r="K205" s="37"/>
      <c r="L205" s="37"/>
      <c r="M205" s="37"/>
    </row>
    <row r="206" spans="1:13">
      <c r="A206" s="2"/>
      <c r="B206" s="26"/>
      <c r="C206" s="43"/>
      <c r="D206" s="33"/>
      <c r="J206" s="37"/>
      <c r="K206" s="37"/>
      <c r="L206" s="37"/>
      <c r="M206" s="37"/>
    </row>
    <row r="207" spans="1:13">
      <c r="A207" s="2"/>
      <c r="B207" s="26"/>
      <c r="C207" s="43"/>
      <c r="D207" s="33"/>
      <c r="J207" s="37"/>
      <c r="K207" s="37"/>
      <c r="L207" s="37"/>
      <c r="M207" s="37"/>
    </row>
    <row r="208" spans="1:13">
      <c r="A208" s="2"/>
      <c r="B208" s="26"/>
      <c r="C208" s="43"/>
      <c r="D208" s="33"/>
      <c r="J208" s="37"/>
      <c r="K208" s="37"/>
      <c r="L208" s="37"/>
      <c r="M208" s="37"/>
    </row>
    <row r="209" spans="1:13">
      <c r="A209" s="2"/>
      <c r="B209" s="26"/>
      <c r="C209" s="43"/>
      <c r="D209" s="33"/>
      <c r="J209" s="37"/>
      <c r="K209" s="37"/>
      <c r="L209" s="37"/>
      <c r="M209" s="37"/>
    </row>
    <row r="210" spans="1:13">
      <c r="A210" s="2"/>
      <c r="B210" s="26"/>
      <c r="C210" s="43"/>
      <c r="D210" s="33"/>
      <c r="J210" s="37"/>
      <c r="K210" s="37"/>
      <c r="L210" s="37"/>
      <c r="M210" s="37"/>
    </row>
    <row r="211" spans="1:13">
      <c r="A211" s="2"/>
      <c r="B211" s="26"/>
      <c r="C211" s="43"/>
      <c r="D211" s="33"/>
      <c r="J211" s="37"/>
      <c r="K211" s="37"/>
      <c r="L211" s="37"/>
      <c r="M211" s="37"/>
    </row>
    <row r="212" spans="1:13">
      <c r="A212" s="2"/>
      <c r="B212" s="26"/>
      <c r="C212" s="43"/>
      <c r="D212" s="33"/>
      <c r="J212" s="37"/>
      <c r="K212" s="37"/>
      <c r="L212" s="37"/>
      <c r="M212" s="37"/>
    </row>
    <row r="213" spans="1:13">
      <c r="A213" s="2"/>
      <c r="B213" s="26"/>
      <c r="C213" s="43"/>
      <c r="D213" s="33"/>
      <c r="J213" s="37"/>
      <c r="K213" s="37"/>
      <c r="L213" s="37"/>
      <c r="M213" s="37"/>
    </row>
    <row r="214" spans="1:13">
      <c r="A214" s="2"/>
      <c r="B214" s="26"/>
      <c r="C214" s="43"/>
      <c r="D214" s="33"/>
      <c r="J214" s="37"/>
      <c r="K214" s="37"/>
      <c r="L214" s="37"/>
      <c r="M214" s="37"/>
    </row>
    <row r="215" spans="1:13">
      <c r="A215" s="2"/>
      <c r="B215" s="26"/>
      <c r="C215" s="43"/>
      <c r="D215" s="33"/>
      <c r="J215" s="37"/>
      <c r="K215" s="37"/>
      <c r="L215" s="37"/>
      <c r="M215" s="37"/>
    </row>
    <row r="216" spans="1:13">
      <c r="A216" s="2"/>
      <c r="B216" s="26"/>
      <c r="C216" s="43"/>
      <c r="D216" s="33"/>
      <c r="J216" s="37"/>
      <c r="K216" s="37"/>
      <c r="L216" s="37"/>
      <c r="M216" s="37"/>
    </row>
    <row r="217" spans="1:13">
      <c r="A217" s="2"/>
      <c r="B217" s="26"/>
      <c r="C217" s="43"/>
      <c r="D217" s="33"/>
      <c r="J217" s="37"/>
      <c r="K217" s="37"/>
      <c r="L217" s="37"/>
      <c r="M217" s="37"/>
    </row>
    <row r="218" spans="1:13">
      <c r="A218" s="2"/>
      <c r="B218" s="26"/>
      <c r="C218" s="43"/>
      <c r="D218" s="33"/>
      <c r="J218" s="37"/>
      <c r="K218" s="37"/>
      <c r="L218" s="37"/>
      <c r="M218" s="37"/>
    </row>
    <row r="219" spans="1:13">
      <c r="A219" s="2"/>
      <c r="B219" s="26"/>
      <c r="C219" s="43"/>
      <c r="D219" s="33"/>
      <c r="J219" s="37"/>
      <c r="K219" s="37"/>
      <c r="L219" s="37"/>
      <c r="M219" s="37"/>
    </row>
    <row r="220" spans="1:13">
      <c r="A220" s="2"/>
      <c r="B220" s="26"/>
      <c r="C220" s="43"/>
      <c r="D220" s="33"/>
      <c r="J220" s="37"/>
      <c r="K220" s="37"/>
      <c r="L220" s="37"/>
      <c r="M220" s="37"/>
    </row>
    <row r="221" spans="1:13">
      <c r="A221" s="2"/>
      <c r="B221" s="26"/>
      <c r="C221" s="43"/>
      <c r="D221" s="33"/>
      <c r="J221" s="37"/>
      <c r="K221" s="37"/>
      <c r="L221" s="37"/>
      <c r="M221" s="37"/>
    </row>
    <row r="222" spans="1:13">
      <c r="A222" s="2"/>
      <c r="B222" s="26"/>
      <c r="C222" s="43"/>
      <c r="D222" s="33"/>
      <c r="J222" s="37"/>
      <c r="K222" s="37"/>
      <c r="L222" s="37"/>
      <c r="M222" s="37"/>
    </row>
    <row r="223" spans="1:13">
      <c r="A223" s="2"/>
      <c r="B223" s="26"/>
      <c r="C223" s="43"/>
      <c r="D223" s="33"/>
      <c r="J223" s="37"/>
      <c r="K223" s="37"/>
      <c r="L223" s="37"/>
      <c r="M223" s="37"/>
    </row>
    <row r="224" spans="1:13">
      <c r="A224" s="2"/>
      <c r="B224" s="26"/>
      <c r="C224" s="43"/>
      <c r="D224" s="33"/>
      <c r="J224" s="37"/>
      <c r="K224" s="37"/>
      <c r="L224" s="37"/>
      <c r="M224" s="37"/>
    </row>
    <row r="225" spans="1:13">
      <c r="A225" s="2"/>
      <c r="B225" s="26"/>
      <c r="C225" s="43"/>
      <c r="D225" s="33"/>
      <c r="J225" s="37"/>
      <c r="K225" s="37"/>
      <c r="L225" s="37"/>
      <c r="M225" s="37"/>
    </row>
    <row r="226" spans="1:13">
      <c r="A226" s="2"/>
      <c r="B226" s="26"/>
      <c r="C226" s="43"/>
      <c r="D226" s="33"/>
      <c r="J226" s="37"/>
      <c r="K226" s="37"/>
      <c r="L226" s="37"/>
      <c r="M226" s="37"/>
    </row>
    <row r="227" spans="1:13">
      <c r="A227" s="2"/>
      <c r="B227" s="26"/>
      <c r="C227" s="43"/>
      <c r="D227" s="33"/>
      <c r="J227" s="37"/>
      <c r="K227" s="37"/>
      <c r="L227" s="37"/>
      <c r="M227" s="37"/>
    </row>
    <row r="228" spans="1:13">
      <c r="A228" s="2"/>
      <c r="B228" s="26"/>
      <c r="C228" s="43"/>
      <c r="D228" s="33"/>
      <c r="J228" s="37"/>
      <c r="K228" s="37"/>
      <c r="L228" s="37"/>
      <c r="M228" s="37"/>
    </row>
    <row r="229" spans="1:13">
      <c r="A229" s="2"/>
      <c r="B229" s="26"/>
      <c r="C229" s="43"/>
      <c r="D229" s="33"/>
      <c r="J229" s="37"/>
      <c r="K229" s="37"/>
      <c r="L229" s="37"/>
      <c r="M229" s="37"/>
    </row>
    <row r="230" spans="1:13">
      <c r="A230" s="2"/>
      <c r="B230" s="26"/>
      <c r="C230" s="43"/>
      <c r="D230" s="33"/>
      <c r="J230" s="37"/>
      <c r="K230" s="37"/>
      <c r="L230" s="37"/>
      <c r="M230" s="37"/>
    </row>
    <row r="231" spans="1:13">
      <c r="A231" s="2"/>
      <c r="B231" s="26"/>
      <c r="C231" s="43"/>
      <c r="D231" s="33"/>
      <c r="J231" s="37"/>
      <c r="K231" s="37"/>
      <c r="L231" s="37"/>
      <c r="M231" s="37"/>
    </row>
    <row r="232" spans="1:13">
      <c r="A232" s="2"/>
      <c r="B232" s="26"/>
      <c r="C232" s="43"/>
      <c r="D232" s="33"/>
      <c r="J232" s="37"/>
      <c r="K232" s="37"/>
      <c r="L232" s="37"/>
      <c r="M232" s="37"/>
    </row>
    <row r="233" spans="1:13">
      <c r="A233" s="2"/>
      <c r="B233" s="26"/>
      <c r="C233" s="43"/>
      <c r="D233" s="33"/>
      <c r="J233" s="37"/>
      <c r="K233" s="37"/>
      <c r="L233" s="37"/>
      <c r="M233" s="37"/>
    </row>
    <row r="234" spans="1:13">
      <c r="A234" s="2"/>
      <c r="B234" s="26"/>
      <c r="C234" s="43"/>
      <c r="D234" s="33"/>
      <c r="J234" s="37"/>
      <c r="K234" s="37"/>
      <c r="L234" s="37"/>
      <c r="M234" s="37"/>
    </row>
    <row r="235" spans="1:13">
      <c r="A235" s="2"/>
      <c r="B235" s="26"/>
      <c r="C235" s="43"/>
      <c r="D235" s="33"/>
      <c r="J235" s="37"/>
      <c r="K235" s="37"/>
      <c r="L235" s="37"/>
      <c r="M235" s="37"/>
    </row>
    <row r="236" spans="1:13">
      <c r="A236" s="2"/>
      <c r="B236" s="26"/>
      <c r="C236" s="43"/>
      <c r="D236" s="33"/>
      <c r="J236" s="37"/>
      <c r="K236" s="37"/>
      <c r="L236" s="37"/>
      <c r="M236" s="37"/>
    </row>
    <row r="237" spans="1:13">
      <c r="A237" s="2"/>
      <c r="B237" s="26"/>
      <c r="C237" s="43"/>
      <c r="D237" s="33"/>
      <c r="J237" s="37"/>
      <c r="K237" s="37"/>
      <c r="L237" s="37"/>
      <c r="M237" s="37"/>
    </row>
    <row r="238" spans="1:13">
      <c r="A238" s="2"/>
      <c r="B238" s="26"/>
      <c r="C238" s="43"/>
      <c r="D238" s="33"/>
      <c r="J238" s="37"/>
      <c r="K238" s="37"/>
      <c r="L238" s="37"/>
      <c r="M238" s="37"/>
    </row>
    <row r="239" spans="1:13">
      <c r="A239" s="2"/>
      <c r="B239" s="26"/>
      <c r="C239" s="43"/>
      <c r="D239" s="33"/>
      <c r="J239" s="37"/>
      <c r="K239" s="37"/>
      <c r="L239" s="37"/>
      <c r="M239" s="37"/>
    </row>
    <row r="240" spans="1:13">
      <c r="A240" s="2"/>
      <c r="B240" s="26"/>
      <c r="C240" s="43"/>
      <c r="D240" s="33"/>
      <c r="J240" s="37"/>
      <c r="K240" s="37"/>
      <c r="L240" s="37"/>
      <c r="M240" s="37"/>
    </row>
    <row r="241" spans="1:13">
      <c r="A241" s="2"/>
      <c r="B241" s="26"/>
      <c r="C241" s="43"/>
      <c r="D241" s="33"/>
      <c r="J241" s="37"/>
      <c r="K241" s="37"/>
      <c r="L241" s="37"/>
      <c r="M241" s="37"/>
    </row>
    <row r="242" spans="1:13">
      <c r="A242" s="2"/>
      <c r="B242" s="26"/>
      <c r="C242" s="43"/>
      <c r="D242" s="33"/>
      <c r="J242" s="37"/>
      <c r="K242" s="37"/>
      <c r="L242" s="37"/>
      <c r="M242" s="37"/>
    </row>
    <row r="243" spans="1:13">
      <c r="A243" s="2"/>
      <c r="B243" s="26"/>
      <c r="C243" s="43"/>
      <c r="D243" s="33"/>
      <c r="J243" s="37"/>
      <c r="K243" s="37"/>
      <c r="L243" s="37"/>
      <c r="M243" s="37"/>
    </row>
    <row r="244" spans="1:13">
      <c r="A244" s="2"/>
      <c r="B244" s="26"/>
      <c r="C244" s="43"/>
      <c r="D244" s="33"/>
      <c r="J244" s="37"/>
      <c r="K244" s="37"/>
      <c r="L244" s="37"/>
      <c r="M244" s="37"/>
    </row>
    <row r="245" spans="1:13">
      <c r="A245" s="2"/>
      <c r="B245" s="26"/>
      <c r="C245" s="43"/>
      <c r="D245" s="33"/>
      <c r="J245" s="37"/>
      <c r="K245" s="37"/>
      <c r="L245" s="37"/>
      <c r="M245" s="37"/>
    </row>
    <row r="246" spans="1:13">
      <c r="A246" s="2"/>
      <c r="B246" s="26"/>
      <c r="C246" s="43"/>
      <c r="D246" s="33"/>
      <c r="J246" s="37"/>
      <c r="K246" s="37"/>
      <c r="L246" s="37"/>
      <c r="M246" s="37"/>
    </row>
    <row r="247" spans="1:13">
      <c r="A247" s="2"/>
      <c r="B247" s="26"/>
      <c r="C247" s="43"/>
      <c r="D247" s="33"/>
      <c r="J247" s="37"/>
      <c r="K247" s="37"/>
      <c r="L247" s="37"/>
      <c r="M247" s="37"/>
    </row>
    <row r="248" spans="1:13">
      <c r="A248" s="2"/>
      <c r="B248" s="26"/>
      <c r="C248" s="43"/>
      <c r="D248" s="33"/>
      <c r="J248" s="37"/>
      <c r="K248" s="37"/>
      <c r="L248" s="37"/>
      <c r="M248" s="37"/>
    </row>
    <row r="249" spans="1:13">
      <c r="A249" s="2"/>
      <c r="B249" s="26"/>
      <c r="C249" s="43"/>
      <c r="D249" s="33"/>
      <c r="J249" s="37"/>
      <c r="K249" s="37"/>
      <c r="L249" s="37"/>
      <c r="M249" s="37"/>
    </row>
    <row r="250" spans="1:13">
      <c r="A250" s="2"/>
      <c r="B250" s="26"/>
      <c r="C250" s="43"/>
      <c r="D250" s="33"/>
      <c r="J250" s="37"/>
      <c r="K250" s="37"/>
      <c r="L250" s="37"/>
      <c r="M250" s="37"/>
    </row>
    <row r="251" spans="1:13">
      <c r="A251" s="2"/>
      <c r="B251" s="26"/>
      <c r="C251" s="43"/>
      <c r="D251" s="33"/>
      <c r="J251" s="37"/>
      <c r="K251" s="37"/>
      <c r="L251" s="37"/>
      <c r="M251" s="37"/>
    </row>
    <row r="252" spans="1:13">
      <c r="A252" s="2"/>
      <c r="B252" s="26"/>
      <c r="C252" s="43"/>
      <c r="D252" s="33"/>
      <c r="J252" s="37"/>
      <c r="K252" s="37"/>
      <c r="L252" s="37"/>
      <c r="M252" s="37"/>
    </row>
    <row r="253" spans="1:13">
      <c r="A253" s="2"/>
      <c r="B253" s="26"/>
      <c r="C253" s="43"/>
      <c r="D253" s="33"/>
      <c r="J253" s="37"/>
      <c r="K253" s="37"/>
      <c r="L253" s="37"/>
      <c r="M253" s="37"/>
    </row>
    <row r="254" spans="1:13">
      <c r="A254" s="2"/>
      <c r="B254" s="26"/>
      <c r="C254" s="43"/>
      <c r="D254" s="33"/>
      <c r="J254" s="37"/>
      <c r="K254" s="37"/>
      <c r="L254" s="37"/>
      <c r="M254" s="37"/>
    </row>
    <row r="255" spans="1:13">
      <c r="A255" s="2"/>
      <c r="B255" s="26"/>
      <c r="C255" s="43"/>
      <c r="D255" s="33"/>
      <c r="J255" s="37"/>
      <c r="K255" s="37"/>
      <c r="L255" s="37"/>
      <c r="M255" s="37"/>
    </row>
    <row r="256" spans="1:13">
      <c r="A256" s="2"/>
      <c r="B256" s="26"/>
      <c r="C256" s="43"/>
      <c r="D256" s="33"/>
      <c r="J256" s="37"/>
      <c r="K256" s="37"/>
      <c r="L256" s="37"/>
      <c r="M256" s="37"/>
    </row>
    <row r="257" spans="1:13">
      <c r="A257" s="2"/>
      <c r="B257" s="26"/>
      <c r="C257" s="43"/>
      <c r="D257" s="33"/>
      <c r="J257" s="37"/>
      <c r="K257" s="37"/>
      <c r="L257" s="37"/>
      <c r="M257" s="37"/>
    </row>
    <row r="258" spans="1:13">
      <c r="A258" s="2"/>
      <c r="B258" s="26"/>
      <c r="C258" s="43"/>
      <c r="D258" s="33"/>
      <c r="J258" s="37"/>
      <c r="K258" s="37"/>
      <c r="L258" s="37"/>
      <c r="M258" s="37"/>
    </row>
    <row r="259" spans="1:13">
      <c r="A259" s="2"/>
      <c r="B259" s="26"/>
      <c r="C259" s="43"/>
      <c r="D259" s="33"/>
      <c r="J259" s="37"/>
      <c r="K259" s="37"/>
      <c r="L259" s="37"/>
      <c r="M259" s="37"/>
    </row>
    <row r="260" spans="1:13">
      <c r="A260" s="2"/>
      <c r="B260" s="26"/>
      <c r="C260" s="43"/>
      <c r="D260" s="33"/>
      <c r="J260" s="37"/>
      <c r="K260" s="37"/>
      <c r="L260" s="37"/>
      <c r="M260" s="37"/>
    </row>
    <row r="261" spans="1:13">
      <c r="A261" s="2"/>
      <c r="B261" s="26"/>
      <c r="C261" s="43"/>
      <c r="D261" s="33"/>
      <c r="J261" s="37"/>
      <c r="K261" s="37"/>
      <c r="L261" s="37"/>
      <c r="M261" s="37"/>
    </row>
    <row r="262" spans="1:13">
      <c r="A262" s="2"/>
      <c r="B262" s="26"/>
      <c r="C262" s="43"/>
      <c r="D262" s="33"/>
      <c r="J262" s="37"/>
      <c r="K262" s="37"/>
      <c r="L262" s="37"/>
      <c r="M262" s="37"/>
    </row>
    <row r="263" spans="1:13">
      <c r="A263" s="2"/>
      <c r="B263" s="26"/>
      <c r="C263" s="43"/>
      <c r="D263" s="33"/>
      <c r="J263" s="37"/>
      <c r="K263" s="37"/>
      <c r="L263" s="37"/>
      <c r="M263" s="37"/>
    </row>
    <row r="264" spans="1:13">
      <c r="A264" s="2"/>
      <c r="B264" s="26"/>
      <c r="C264" s="43"/>
      <c r="D264" s="33"/>
      <c r="J264" s="37"/>
      <c r="K264" s="37"/>
      <c r="L264" s="37"/>
      <c r="M264" s="37"/>
    </row>
    <row r="265" spans="1:13">
      <c r="A265" s="2"/>
      <c r="B265" s="26"/>
      <c r="C265" s="43"/>
      <c r="D265" s="33"/>
      <c r="J265" s="37"/>
      <c r="K265" s="37"/>
      <c r="L265" s="37"/>
      <c r="M265" s="37"/>
    </row>
    <row r="266" spans="1:13">
      <c r="A266" s="2"/>
      <c r="B266" s="26"/>
      <c r="C266" s="43"/>
      <c r="D266" s="33"/>
      <c r="J266" s="37"/>
      <c r="K266" s="37"/>
      <c r="L266" s="37"/>
      <c r="M266" s="37"/>
    </row>
    <row r="267" spans="1:13">
      <c r="A267" s="2"/>
      <c r="B267" s="26"/>
      <c r="C267" s="43"/>
      <c r="D267" s="33"/>
      <c r="J267" s="37"/>
      <c r="K267" s="37"/>
      <c r="L267" s="37"/>
      <c r="M267" s="37"/>
    </row>
    <row r="268" spans="1:13">
      <c r="A268" s="2"/>
      <c r="B268" s="26"/>
      <c r="C268" s="43"/>
      <c r="D268" s="33"/>
      <c r="J268" s="37"/>
      <c r="K268" s="37"/>
      <c r="L268" s="37"/>
      <c r="M268" s="37"/>
    </row>
    <row r="269" spans="1:13">
      <c r="A269" s="2"/>
      <c r="B269" s="26"/>
      <c r="C269" s="43"/>
      <c r="D269" s="33"/>
      <c r="J269" s="37"/>
      <c r="K269" s="37"/>
      <c r="L269" s="37"/>
      <c r="M269" s="37"/>
    </row>
    <row r="270" spans="1:13">
      <c r="A270" s="2"/>
      <c r="B270" s="26"/>
      <c r="C270" s="43"/>
      <c r="D270" s="33"/>
      <c r="J270" s="37"/>
      <c r="K270" s="37"/>
      <c r="L270" s="37"/>
      <c r="M270" s="37"/>
    </row>
    <row r="271" spans="1:13">
      <c r="A271" s="2"/>
      <c r="B271" s="26"/>
      <c r="C271" s="43"/>
      <c r="D271" s="33"/>
      <c r="J271" s="37"/>
      <c r="K271" s="37"/>
      <c r="L271" s="37"/>
      <c r="M271" s="37"/>
    </row>
    <row r="272" spans="1:13">
      <c r="A272" s="2"/>
      <c r="B272" s="26"/>
      <c r="C272" s="43"/>
      <c r="D272" s="33"/>
      <c r="J272" s="37"/>
      <c r="K272" s="37"/>
      <c r="L272" s="37"/>
      <c r="M272" s="37"/>
    </row>
    <row r="273" spans="1:13">
      <c r="A273" s="2"/>
      <c r="B273" s="26"/>
      <c r="C273" s="43"/>
      <c r="D273" s="33"/>
      <c r="J273" s="37"/>
      <c r="K273" s="37"/>
      <c r="L273" s="37"/>
      <c r="M273" s="37"/>
    </row>
    <row r="274" spans="1:13">
      <c r="A274" s="2"/>
      <c r="B274" s="26"/>
      <c r="C274" s="43"/>
      <c r="D274" s="33"/>
      <c r="J274" s="37"/>
      <c r="K274" s="37"/>
      <c r="L274" s="37"/>
      <c r="M274" s="37"/>
    </row>
    <row r="275" spans="1:13">
      <c r="A275" s="2"/>
      <c r="B275" s="26"/>
      <c r="C275" s="43"/>
      <c r="D275" s="33"/>
      <c r="J275" s="37"/>
      <c r="K275" s="37"/>
      <c r="L275" s="37"/>
      <c r="M275" s="37"/>
    </row>
    <row r="276" spans="1:13">
      <c r="A276" s="2"/>
      <c r="B276" s="26"/>
      <c r="C276" s="43"/>
      <c r="D276" s="33"/>
      <c r="J276" s="37"/>
      <c r="K276" s="37"/>
      <c r="L276" s="37"/>
      <c r="M276" s="37"/>
    </row>
    <row r="277" spans="1:13">
      <c r="A277" s="2"/>
      <c r="B277" s="26"/>
      <c r="C277" s="43"/>
      <c r="D277" s="33"/>
      <c r="J277" s="37"/>
      <c r="K277" s="37"/>
      <c r="L277" s="37"/>
      <c r="M277" s="37"/>
    </row>
    <row r="278" spans="1:13">
      <c r="A278" s="2"/>
      <c r="B278" s="26"/>
      <c r="C278" s="43"/>
      <c r="D278" s="33"/>
      <c r="J278" s="37"/>
      <c r="K278" s="37"/>
      <c r="L278" s="37"/>
      <c r="M278" s="37"/>
    </row>
    <row r="279" spans="1:13">
      <c r="A279" s="2"/>
      <c r="B279" s="26"/>
      <c r="C279" s="43"/>
      <c r="D279" s="33"/>
      <c r="J279" s="37"/>
      <c r="K279" s="37"/>
      <c r="L279" s="37"/>
      <c r="M279" s="37"/>
    </row>
    <row r="280" spans="1:13">
      <c r="A280" s="2"/>
      <c r="B280" s="26"/>
      <c r="C280" s="43"/>
      <c r="D280" s="33"/>
      <c r="J280" s="37"/>
      <c r="K280" s="37"/>
      <c r="L280" s="37"/>
      <c r="M280" s="37"/>
    </row>
    <row r="281" spans="1:13">
      <c r="A281" s="2"/>
      <c r="B281" s="26"/>
      <c r="C281" s="43"/>
      <c r="D281" s="33"/>
      <c r="J281" s="37"/>
      <c r="K281" s="37"/>
      <c r="L281" s="37"/>
      <c r="M281" s="37"/>
    </row>
    <row r="282" spans="1:13">
      <c r="A282" s="2"/>
      <c r="B282" s="26"/>
      <c r="C282" s="43"/>
      <c r="D282" s="33"/>
      <c r="J282" s="37"/>
      <c r="K282" s="37"/>
      <c r="L282" s="37"/>
      <c r="M282" s="37"/>
    </row>
    <row r="283" spans="1:13">
      <c r="A283" s="2"/>
      <c r="B283" s="26"/>
      <c r="C283" s="43"/>
      <c r="D283" s="33"/>
      <c r="J283" s="37"/>
      <c r="K283" s="37"/>
      <c r="L283" s="37"/>
      <c r="M283" s="37"/>
    </row>
    <row r="284" spans="1:13">
      <c r="A284" s="2"/>
      <c r="B284" s="26"/>
      <c r="C284" s="43"/>
      <c r="D284" s="33"/>
      <c r="J284" s="37"/>
      <c r="K284" s="37"/>
      <c r="L284" s="37"/>
      <c r="M284" s="37"/>
    </row>
    <row r="285" spans="1:13">
      <c r="A285" s="2"/>
      <c r="B285" s="26"/>
      <c r="C285" s="43"/>
      <c r="D285" s="33"/>
      <c r="J285" s="37"/>
      <c r="K285" s="37"/>
      <c r="L285" s="37"/>
      <c r="M285" s="37"/>
    </row>
    <row r="286" spans="1:13">
      <c r="A286" s="2"/>
      <c r="B286" s="26"/>
      <c r="C286" s="43"/>
      <c r="D286" s="33"/>
      <c r="J286" s="37"/>
      <c r="K286" s="37"/>
      <c r="L286" s="37"/>
      <c r="M286" s="37"/>
    </row>
    <row r="287" spans="1:13">
      <c r="A287" s="2"/>
      <c r="B287" s="26"/>
      <c r="C287" s="43"/>
      <c r="D287" s="33"/>
      <c r="J287" s="37"/>
      <c r="K287" s="37"/>
      <c r="L287" s="37"/>
      <c r="M287" s="37"/>
    </row>
    <row r="288" spans="1:13">
      <c r="A288" s="2"/>
      <c r="B288" s="26"/>
      <c r="C288" s="43"/>
      <c r="D288" s="33"/>
      <c r="J288" s="37"/>
      <c r="K288" s="37"/>
      <c r="L288" s="37"/>
      <c r="M288" s="37"/>
    </row>
    <row r="289" spans="1:13">
      <c r="A289" s="2"/>
      <c r="B289" s="26"/>
      <c r="C289" s="43"/>
      <c r="D289" s="33"/>
      <c r="J289" s="37"/>
      <c r="K289" s="37"/>
      <c r="L289" s="37"/>
      <c r="M289" s="37"/>
    </row>
    <row r="290" spans="1:13">
      <c r="A290" s="2"/>
      <c r="B290" s="26"/>
      <c r="C290" s="43"/>
      <c r="D290" s="33"/>
      <c r="J290" s="37"/>
      <c r="K290" s="37"/>
      <c r="L290" s="37"/>
      <c r="M290" s="37"/>
    </row>
    <row r="291" spans="1:13">
      <c r="A291" s="2"/>
      <c r="B291" s="26"/>
      <c r="C291" s="43"/>
      <c r="D291" s="33"/>
      <c r="J291" s="37"/>
      <c r="K291" s="37"/>
      <c r="L291" s="37"/>
      <c r="M291" s="37"/>
    </row>
    <row r="292" spans="1:13">
      <c r="A292" s="2"/>
      <c r="B292" s="26"/>
      <c r="C292" s="43"/>
      <c r="D292" s="33"/>
      <c r="J292" s="37"/>
      <c r="K292" s="37"/>
      <c r="L292" s="37"/>
      <c r="M292" s="37"/>
    </row>
    <row r="293" spans="1:13">
      <c r="A293" s="2"/>
      <c r="B293" s="26"/>
      <c r="C293" s="43"/>
      <c r="D293" s="33"/>
      <c r="J293" s="37"/>
      <c r="K293" s="37"/>
      <c r="L293" s="37"/>
      <c r="M293" s="37"/>
    </row>
    <row r="294" spans="1:13">
      <c r="A294" s="2"/>
      <c r="B294" s="26"/>
      <c r="C294" s="43"/>
      <c r="D294" s="33"/>
      <c r="J294" s="37"/>
      <c r="K294" s="37"/>
      <c r="L294" s="37"/>
      <c r="M294" s="37"/>
    </row>
    <row r="295" spans="1:13">
      <c r="A295" s="2"/>
      <c r="B295" s="26"/>
      <c r="C295" s="43"/>
      <c r="D295" s="33"/>
      <c r="J295" s="37"/>
      <c r="K295" s="37"/>
      <c r="L295" s="37"/>
      <c r="M295" s="37"/>
    </row>
    <row r="296" spans="1:13">
      <c r="A296" s="2"/>
      <c r="B296" s="26"/>
      <c r="C296" s="43"/>
      <c r="D296" s="33"/>
      <c r="J296" s="37"/>
      <c r="K296" s="37"/>
      <c r="L296" s="37"/>
      <c r="M296" s="37"/>
    </row>
    <row r="297" spans="1:13">
      <c r="A297" s="2"/>
      <c r="B297" s="26"/>
      <c r="C297" s="43"/>
      <c r="D297" s="33"/>
      <c r="J297" s="37"/>
      <c r="K297" s="37"/>
      <c r="L297" s="37"/>
      <c r="M297" s="37"/>
    </row>
    <row r="298" spans="1:13">
      <c r="A298" s="2"/>
      <c r="B298" s="26"/>
      <c r="C298" s="43"/>
      <c r="D298" s="33"/>
      <c r="J298" s="37"/>
      <c r="K298" s="37"/>
      <c r="L298" s="37"/>
      <c r="M298" s="37"/>
    </row>
    <row r="299" spans="1:13">
      <c r="A299" s="2"/>
      <c r="B299" s="26"/>
      <c r="C299" s="43"/>
      <c r="D299" s="33"/>
      <c r="J299" s="37"/>
      <c r="K299" s="37"/>
      <c r="L299" s="37"/>
      <c r="M299" s="37"/>
    </row>
    <row r="300" spans="1:13">
      <c r="A300" s="2"/>
      <c r="B300" s="26"/>
      <c r="C300" s="43"/>
      <c r="D300" s="33"/>
      <c r="J300" s="37"/>
      <c r="K300" s="37"/>
      <c r="L300" s="37"/>
      <c r="M300" s="37"/>
    </row>
    <row r="301" spans="1:13">
      <c r="A301" s="2"/>
      <c r="B301" s="26"/>
      <c r="C301" s="43"/>
      <c r="D301" s="33"/>
      <c r="J301" s="37"/>
      <c r="K301" s="37"/>
      <c r="L301" s="37"/>
      <c r="M301" s="37"/>
    </row>
    <row r="302" spans="1:13">
      <c r="A302" s="2"/>
      <c r="B302" s="26"/>
      <c r="C302" s="43"/>
      <c r="D302" s="33"/>
      <c r="J302" s="37"/>
      <c r="K302" s="37"/>
      <c r="L302" s="37"/>
      <c r="M302" s="37"/>
    </row>
    <row r="303" spans="1:13">
      <c r="A303" s="2"/>
      <c r="B303" s="26"/>
      <c r="C303" s="43"/>
      <c r="D303" s="33"/>
      <c r="J303" s="37"/>
      <c r="K303" s="37"/>
      <c r="L303" s="37"/>
      <c r="M303" s="37"/>
    </row>
    <row r="304" spans="1:13">
      <c r="A304" s="2"/>
      <c r="B304" s="26"/>
      <c r="C304" s="43"/>
      <c r="D304" s="33"/>
      <c r="J304" s="37"/>
      <c r="K304" s="37"/>
      <c r="L304" s="37"/>
      <c r="M304" s="37"/>
    </row>
    <row r="305" spans="1:13">
      <c r="A305" s="2"/>
      <c r="B305" s="26"/>
      <c r="C305" s="43"/>
      <c r="D305" s="33"/>
      <c r="J305" s="37"/>
      <c r="K305" s="37"/>
      <c r="L305" s="37"/>
      <c r="M305" s="37"/>
    </row>
    <row r="306" spans="1:13">
      <c r="A306" s="2"/>
      <c r="B306" s="26"/>
      <c r="C306" s="43"/>
      <c r="D306" s="33"/>
      <c r="J306" s="37"/>
      <c r="K306" s="37"/>
      <c r="L306" s="37"/>
      <c r="M306" s="37"/>
    </row>
    <row r="307" spans="1:13">
      <c r="A307" s="2"/>
      <c r="B307" s="26"/>
      <c r="C307" s="43"/>
      <c r="D307" s="33"/>
      <c r="J307" s="37"/>
      <c r="K307" s="37"/>
      <c r="L307" s="37"/>
      <c r="M307" s="37"/>
    </row>
    <row r="308" spans="1:13">
      <c r="A308" s="2"/>
      <c r="B308" s="26"/>
      <c r="C308" s="43"/>
      <c r="D308" s="33"/>
      <c r="J308" s="37"/>
      <c r="K308" s="37"/>
      <c r="L308" s="37"/>
      <c r="M308" s="37"/>
    </row>
    <row r="309" spans="1:13">
      <c r="A309" s="29"/>
      <c r="B309" s="30"/>
      <c r="C309" s="31"/>
      <c r="D309" s="33"/>
    </row>
    <row r="310" spans="1:13">
      <c r="B310" s="27"/>
      <c r="C310" s="27"/>
    </row>
    <row r="311" spans="1:13">
      <c r="C311" s="27"/>
    </row>
  </sheetData>
  <mergeCells count="3">
    <mergeCell ref="A1:D1"/>
    <mergeCell ref="F1:H2"/>
    <mergeCell ref="F3:H4"/>
  </mergeCells>
  <pageMargins left="0.7" right="0.7" top="0.75" bottom="0.75" header="0.3" footer="0.3"/>
  <pageSetup paperSize="9" scale="68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13</xdr:col>
                <xdr:colOff>695325</xdr:colOff>
                <xdr:row>0</xdr:row>
                <xdr:rowOff>95250</xdr:rowOff>
              </from>
              <to>
                <xdr:col>15</xdr:col>
                <xdr:colOff>647700</xdr:colOff>
                <xdr:row>3</xdr:row>
                <xdr:rowOff>0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2</vt:i4>
      </vt:variant>
    </vt:vector>
  </HeadingPairs>
  <TitlesOfParts>
    <vt:vector size="5" baseType="lpstr">
      <vt:lpstr>FACTURE</vt:lpstr>
      <vt:lpstr>ARTICLES</vt:lpstr>
      <vt:lpstr>CLIENTS</vt:lpstr>
      <vt:lpstr>CLIENTS!Zone_d_impression</vt:lpstr>
      <vt:lpstr>FACTURE!Zone_d_impression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Samuel Beidi</dc:creator>
  <cp:lastModifiedBy>Samuel Beidi</cp:lastModifiedBy>
  <cp:lastPrinted>2024-08-17T10:19:33Z</cp:lastPrinted>
  <dcterms:created xsi:type="dcterms:W3CDTF">2024-07-17T04:40:31Z</dcterms:created>
  <dcterms:modified xsi:type="dcterms:W3CDTF">2024-09-15T13:03:45Z</dcterms:modified>
</cp:coreProperties>
</file>